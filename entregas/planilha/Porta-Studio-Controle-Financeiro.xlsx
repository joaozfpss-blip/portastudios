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Painel" sheetId="2" state="visible" r:id="rId4"/>
    <sheet name="Lançamentos" sheetId="3" state="visible" r:id="rId5"/>
    <sheet name="Projetos" sheetId="4" state="visible" r:id="rId6"/>
    <sheet name="Custos fixos" sheetId="5" state="visible" r:id="rId7"/>
    <sheet name="Resumo mensal" sheetId="6" state="visible" r:id="rId8"/>
    <sheet name="Tabela de preços" sheetId="7" state="visible" r:id="rId9"/>
    <sheet name="Listas" sheetId="8" state="visible" r:id="rId10"/>
  </sheets>
  <definedNames>
    <definedName function="false" hidden="true" localSheetId="2" name="_xlnm._FilterDatabase" vbProcedure="false">Lançamentos!$A$4:$H$1004</definedName>
    <definedName function="false" hidden="true" localSheetId="3" name="_xlnm._FilterDatabase" vbProcedure="false">Projetos!$A$4:$N$204</definedName>
    <definedName function="false" hidden="false" name="Categorias" vbProcedure="false">OFFSET(Listas!$B$5,0,0,MAX(1,COUNTA(Listas!$B$5:$B$40)),1)</definedName>
    <definedName function="false" hidden="false" name="Cobrancas" vbProcedure="false">Listas!$O$5:$O$6</definedName>
    <definedName function="false" hidden="false" name="Formas" vbProcedure="false">OFFSET(Listas!$G$5,0,0,MAX(1,COUNTA(Listas!$G$5:$G$14)),1)</definedName>
    <definedName function="false" hidden="false" name="ListaProjetos" vbProcedure="false">OFFSET(Projetos!$A$5,0,0,MAX(1,COUNTA(Projetos!$A$5:$A$204)),1)</definedName>
    <definedName function="false" hidden="false" name="Moedas" vbProcedure="false">Listas!$M$5:$M$6</definedName>
    <definedName function="false" hidden="false" name="SimNao" vbProcedure="false">Listas!$Q$5:$Q$6</definedName>
    <definedName function="false" hidden="false" name="StatusProjeto" vbProcedure="false">Listas!$K$5:$K$8</definedName>
    <definedName function="false" hidden="false" name="TiposProjeto" vbProcedure="false">Listas!$I$5:$I$8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Escolha um mês da lista (são os 12 meses da aba Resumo mensal).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Preenchido sozinho a partir da categoria (aba Listas). Se aparecer "?", a categoria digitada não existe na lista.</t>
        </r>
      </text>
    </comment>
    <comment ref="E4" authorId="0">
      <text>
        <r>
          <rPr>
            <sz val="10"/>
            <rFont val="Arial"/>
            <family val="2"/>
          </rPr>
          <t xml:space="preserve">Use o mesmo nome do projeto da aba Projetos. Assim a aba Projetos mostra quanto já recebeu e quanto falta.</t>
        </r>
      </text>
    </comment>
    <comment ref="G4" authorId="0">
      <text>
        <r>
          <rPr>
            <sz val="10"/>
            <rFont val="Arial"/>
            <family val="2"/>
          </rPr>
          <t xml:space="preserve">Sempre positivo. Ex.: 600 para uma entrada de R$ 600 ou 114 para uma assinatura de R$ 114.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Um nome por projeto, sem repetir. Use exatamente esse nome na coluna Projeto da aba Lançamentos.</t>
        </r>
      </text>
    </comment>
    <comment ref="J4" authorId="0">
      <text>
        <r>
          <rPr>
            <sz val="10"/>
            <rFont val="Arial"/>
            <family val="2"/>
          </rPr>
          <t xml:space="preserve">Valor fechado menos o recebido. Só conta projetos Em produção ou Entregue.</t>
        </r>
      </text>
    </comment>
    <comment ref="M4" authorId="0">
      <text>
        <r>
          <rPr>
            <sz val="10"/>
            <rFont val="Arial"/>
            <family val="2"/>
          </rPr>
          <t xml:space="preserve">Se o cliente paga plano de ajustes, manutenção ou hospedagem todo mês, coloque o valor aqui.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Valor de referência. Atualize com a cotação do dia (busque "dólar hoje") ou com a cotação que aparece na fatura do cartão.</t>
        </r>
      </text>
    </comment>
    <comment ref="B5" authorId="0">
      <text>
        <r>
          <rPr>
            <sz val="10"/>
            <rFont val="Arial"/>
            <family val="2"/>
          </rPr>
          <t xml:space="preserve">IOF de 3,5% sobre compras internacionais no cartão (regra em vigor desde 2025). Confira na sua fatura.</t>
        </r>
      </text>
    </comment>
    <comment ref="D7" authorId="0">
      <text>
        <r>
          <rPr>
            <sz val="10"/>
            <rFont val="Arial"/>
            <family val="2"/>
          </rPr>
          <t xml:space="preserve">O valor como aparece na cobrança: em dólar se a moeda for US$, em reais se for R$. Valor anual se a cobrança for anual.</t>
        </r>
      </text>
    </comment>
    <comment ref="H7" authorId="0">
      <text>
        <r>
          <rPr>
            <sz val="10"/>
            <rFont val="Arial"/>
            <family val="2"/>
          </rPr>
          <t xml:space="preserve">Convertido para reais (com IOF quando é em dólar) e dividido por 12 quando a cobrança é anual. Só conta o que está Ativo = Sim.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Digite o primeiro dia do mês em que a planilha começa (ex.: 01/11/2026). Os 12 meses seguem a partir dele.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O mínimo que você aceita ganhar por hora de trabalho. Pacote abaixo disso aparece em vermelho.</t>
        </r>
      </text>
    </comment>
    <comment ref="C5" authorId="0">
      <text>
        <r>
          <rPr>
            <sz val="10"/>
            <rFont val="Arial"/>
            <family val="2"/>
          </rPr>
          <t xml:space="preserve">MEI: deixe 0% (o DAS é fixo e entra em Custos fixos). Simples Nacional ou outro regime: coloque a alíquota que o contador passar.</t>
        </r>
      </text>
    </comment>
    <comment ref="E7" authorId="0">
      <text>
        <r>
          <rPr>
            <sz val="10"/>
            <rFont val="Arial"/>
            <family val="2"/>
          </rPr>
          <t xml:space="preserve">Estimativa trabalhando com IA. Anote quanto tempo cada projeto levou de verdade e ajuste aqui.</t>
        </r>
      </text>
    </comment>
    <comment ref="F7" authorId="0">
      <text>
        <r>
          <rPr>
            <sz val="10"/>
            <rFont val="Arial"/>
            <family val="2"/>
          </rPr>
          <t xml:space="preserve">O que você gasta só naquele projeto (créditos de IA, servidor durante o desenvolvimento, imagens). Assinaturas fixas ficam na aba Custos fixos.</t>
        </r>
      </text>
    </comment>
  </commentList>
</comments>
</file>

<file path=xl/sharedStrings.xml><?xml version="1.0" encoding="utf-8"?>
<sst xmlns="http://schemas.openxmlformats.org/spreadsheetml/2006/main" count="328" uniqueCount="225">
  <si>
    <t xml:space="preserve">Controle financeiro · Porta Studio</t>
  </si>
  <si>
    <t xml:space="preserve">Planilha para acompanhar, mês a mês, o que entrou, o que saiu e quanto sobrou.</t>
  </si>
  <si>
    <t xml:space="preserve">Legenda</t>
  </si>
  <si>
    <t xml:space="preserve">Exemplo</t>
  </si>
  <si>
    <t xml:space="preserve">Célula amarela com texto azul: você preenche.</t>
  </si>
  <si>
    <t xml:space="preserve">Célula cinza: calcula sozinha. Não precisa mexer.</t>
  </si>
  <si>
    <t xml:space="preserve">Triângulo vermelho</t>
  </si>
  <si>
    <t xml:space="preserve">Os títulos com um triângulo no canto têm uma explicação: passe o mouse ou toque neles.</t>
  </si>
  <si>
    <t xml:space="preserve">Passo a passo</t>
  </si>
  <si>
    <t xml:space="preserve">Lançamentos</t>
  </si>
  <si>
    <t xml:space="preserve">Tudo que entrou ou saiu de dinheiro, uma linha por movimento: entrada de cliente, assinatura de IA, domínio, Shopify, anúncio. Escolha a categoria e o tipo (Entrada ou Saída) aparece sozinho. O valor é sempre positivo.</t>
  </si>
  <si>
    <t xml:space="preserve">Projetos</t>
  </si>
  <si>
    <t xml:space="preserve">Cada cliente fechado, com o valor combinado. Use o mesmo nome do projeto nos lançamentos e a planilha mostra quanto já recebeu, quanto falta receber e quanto sobrou.</t>
  </si>
  <si>
    <t xml:space="preserve">Custos fixos</t>
  </si>
  <si>
    <t xml:space="preserve">As assinaturas do negócio (IA, domínio, Shopify, hospedagem). Mostra quanto o negócio custa por mês, já convertendo dólar para real. Atualize a cotação de vez em quando. Quando a cobrança cair no cartão, lance também em Lançamentos.</t>
  </si>
  <si>
    <t xml:space="preserve">Painel</t>
  </si>
  <si>
    <t xml:space="preserve">Escolha o mês na célula amarela e veja quanto entrou, saiu, o lucro, quanto falta receber e para onde foi o dinheiro.</t>
  </si>
  <si>
    <t xml:space="preserve">Resumo mensal</t>
  </si>
  <si>
    <t xml:space="preserve">Os 12 meses lado a lado, por categoria. Para começar um ano novo, troque o primeiro mês (ou salve uma cópia do arquivo).</t>
  </si>
  <si>
    <t xml:space="preserve">Tabela de preços</t>
  </si>
  <si>
    <t xml:space="preserve">Os preços do catálogo com as horas de cada pacote. Mostra quanto sobra por hora e avisa quando um pacote fica abaixo do seu mínimo.</t>
  </si>
  <si>
    <t xml:space="preserve">Listas</t>
  </si>
  <si>
    <t xml:space="preserve">As categorias e as formas de pagamento dos menus. Para criar uma categoria nova, escreva no fim da lista e escolha se é Entrada ou Saída.</t>
  </si>
  <si>
    <t xml:space="preserve">Antes de começar</t>
  </si>
  <si>
    <t xml:space="preserve">•</t>
  </si>
  <si>
    <t xml:space="preserve">Apague as linhas marcadas com EXEMPLO nas abas Lançamentos e Projetos.</t>
  </si>
  <si>
    <t xml:space="preserve">Confira os valores da aba Custos fixos com as suas faturas e marque Sim só no que você assina.</t>
  </si>
  <si>
    <t xml:space="preserve">Lance as coisas no dia em que o dinheiro entra ou sai. No fim do mês, o Painel já está pronto.</t>
  </si>
  <si>
    <t xml:space="preserve">Painel financeiro · Porta Studio</t>
  </si>
  <si>
    <t xml:space="preserve">Escolha o mês na célula amarela. Tudo aqui é calculado a partir das outras abas.</t>
  </si>
  <si>
    <t xml:space="preserve">Mês de referência</t>
  </si>
  <si>
    <t xml:space="preserve">No mês escolhido</t>
  </si>
  <si>
    <t xml:space="preserve">Entrou</t>
  </si>
  <si>
    <t xml:space="preserve">Saiu</t>
  </si>
  <si>
    <t xml:space="preserve">Lucro do mês</t>
  </si>
  <si>
    <t xml:space="preserve">Margem</t>
  </si>
  <si>
    <t xml:space="preserve">Entradas lançadas no mês</t>
  </si>
  <si>
    <t xml:space="preserve">Saídas lançadas no mês</t>
  </si>
  <si>
    <t xml:space="preserve">Entrou menos saiu</t>
  </si>
  <si>
    <t xml:space="preserve">Quanto sobra de cada R$ 100</t>
  </si>
  <si>
    <t xml:space="preserve">Visão geral</t>
  </si>
  <si>
    <t xml:space="preserve">Lucro nos 12 meses</t>
  </si>
  <si>
    <t xml:space="preserve">A receber de clientes</t>
  </si>
  <si>
    <t xml:space="preserve">Custos fixos por mês</t>
  </si>
  <si>
    <t xml:space="preserve">Mensalidades de clientes</t>
  </si>
  <si>
    <t xml:space="preserve">Período da aba Resumo mensal</t>
  </si>
  <si>
    <t xml:space="preserve">Projetos em produção e entregues</t>
  </si>
  <si>
    <t xml:space="preserve">Assinaturas ativas, em reais</t>
  </si>
  <si>
    <t xml:space="preserve">Recorrente que entra todo mês</t>
  </si>
  <si>
    <t xml:space="preserve">Para onde foi o dinheiro no mês</t>
  </si>
  <si>
    <t xml:space="preserve">De onde veio o dinheiro no mês</t>
  </si>
  <si>
    <t xml:space="preserve">Categoria de saída</t>
  </si>
  <si>
    <t xml:space="preserve">Valor</t>
  </si>
  <si>
    <t xml:space="preserve">Categoria de entrada</t>
  </si>
  <si>
    <t xml:space="preserve">Total</t>
  </si>
  <si>
    <t xml:space="preserve">Tudo que entrou ou saiu de dinheiro, uma linha por movimento. Amarelo: você preenche. Cinza: calcula sozinho.</t>
  </si>
  <si>
    <t xml:space="preserve">Escolha a categoria e o tipo (Entrada ou Saída) aparece sozinho. Digite o valor sempre positivo.</t>
  </si>
  <si>
    <t xml:space="preserve">Data</t>
  </si>
  <si>
    <t xml:space="preserve">Categoria</t>
  </si>
  <si>
    <t xml:space="preserve">Tipo</t>
  </si>
  <si>
    <t xml:space="preserve">Descrição</t>
  </si>
  <si>
    <t xml:space="preserve">Projeto (opcional)</t>
  </si>
  <si>
    <t xml:space="preserve">Forma de pagamento</t>
  </si>
  <si>
    <t xml:space="preserve">Valor (R$)</t>
  </si>
  <si>
    <t xml:space="preserve">Mês</t>
  </si>
  <si>
    <t xml:space="preserve">Site WhatsApp</t>
  </si>
  <si>
    <t xml:space="preserve">EXEMPLO · entrada de 50% do site (apague esta linha)</t>
  </si>
  <si>
    <t xml:space="preserve">EXEMPLO · Hamburgueria</t>
  </si>
  <si>
    <t xml:space="preserve">Pix</t>
  </si>
  <si>
    <t xml:space="preserve">Inteligência artificial</t>
  </si>
  <si>
    <t xml:space="preserve">EXEMPLO · assinatura Claude Pro (apague esta linha)</t>
  </si>
  <si>
    <t xml:space="preserve">Cartão de crédito</t>
  </si>
  <si>
    <t xml:space="preserve">Projetos e clientes</t>
  </si>
  <si>
    <t xml:space="preserve">Cada cliente fechado. O recebido e os custos vêm sozinhos dos lançamentos com o mesmo nome de projeto.</t>
  </si>
  <si>
    <t xml:space="preserve">Totais</t>
  </si>
  <si>
    <t xml:space="preserve">Projeto (nome único)</t>
  </si>
  <si>
    <t xml:space="preserve">Cliente / contato</t>
  </si>
  <si>
    <t xml:space="preserve">Pacote</t>
  </si>
  <si>
    <t xml:space="preserve">Fechado em</t>
  </si>
  <si>
    <t xml:space="preserve">Entrega prevista</t>
  </si>
  <si>
    <t xml:space="preserve">Status</t>
  </si>
  <si>
    <t xml:space="preserve">Valor fechado (R$)</t>
  </si>
  <si>
    <t xml:space="preserve">Recebido (R$)</t>
  </si>
  <si>
    <t xml:space="preserve">A receber (R$)</t>
  </si>
  <si>
    <t xml:space="preserve">Custos do projeto (R$)</t>
  </si>
  <si>
    <t xml:space="preserve">Lucro até agora (R$)</t>
  </si>
  <si>
    <t xml:space="preserve">Mensalidade (R$/mês)</t>
  </si>
  <si>
    <t xml:space="preserve">Observações</t>
  </si>
  <si>
    <t xml:space="preserve">Nome do dono · (62) 90000-0000</t>
  </si>
  <si>
    <t xml:space="preserve">Completo</t>
  </si>
  <si>
    <t xml:space="preserve">Em produção</t>
  </si>
  <si>
    <t xml:space="preserve">Apague esta linha quando começar</t>
  </si>
  <si>
    <t xml:space="preserve">Custos fixos e assinaturas</t>
  </si>
  <si>
    <t xml:space="preserve">IA, domínio, Shopify, hospedagem: quanto o negócio custa por mês. Quando a cobrança cair, lance também em Lançamentos.</t>
  </si>
  <si>
    <t xml:space="preserve">Cotação do dólar (R$)</t>
  </si>
  <si>
    <t xml:space="preserve">Total por mês</t>
  </si>
  <si>
    <t xml:space="preserve">IOF em compra no exterior</t>
  </si>
  <si>
    <t xml:space="preserve">Total por ano</t>
  </si>
  <si>
    <t xml:space="preserve">Ferramenta / serviço</t>
  </si>
  <si>
    <t xml:space="preserve">Moeda</t>
  </si>
  <si>
    <t xml:space="preserve">Valor cobrado</t>
  </si>
  <si>
    <t xml:space="preserve">Cobrança</t>
  </si>
  <si>
    <t xml:space="preserve">Dia da cobrança</t>
  </si>
  <si>
    <t xml:space="preserve">Ativo?</t>
  </si>
  <si>
    <t xml:space="preserve">Custo por mês (R$)</t>
  </si>
  <si>
    <t xml:space="preserve">Custo por ano (R$)</t>
  </si>
  <si>
    <t xml:space="preserve">Observação</t>
  </si>
  <si>
    <t xml:space="preserve">Claude Pro</t>
  </si>
  <si>
    <t xml:space="preserve">US$</t>
  </si>
  <si>
    <t xml:space="preserve">Mensal</t>
  </si>
  <si>
    <t xml:space="preserve">Sim</t>
  </si>
  <si>
    <t xml:space="preserve">Plano Pro (US$ 20/mês). Confira o valor na fatura.</t>
  </si>
  <si>
    <t xml:space="preserve">ChatGPT Plus</t>
  </si>
  <si>
    <t xml:space="preserve">Não</t>
  </si>
  <si>
    <t xml:space="preserve">Marque Sim se assinar.</t>
  </si>
  <si>
    <t xml:space="preserve">Gerador de imagens e vídeos com IA</t>
  </si>
  <si>
    <t xml:space="preserve">Ex.: Higgsfield. Preencha com o valor do seu plano.</t>
  </si>
  <si>
    <t xml:space="preserve">Domínio .com.br (Registro.br)</t>
  </si>
  <si>
    <t xml:space="preserve">Domínios</t>
  </si>
  <si>
    <t xml:space="preserve">R$</t>
  </si>
  <si>
    <t xml:space="preserve">Anual</t>
  </si>
  <si>
    <t xml:space="preserve">Cerca de R$ 40 por ano, como diz o seu site. Uma linha por domínio que você paga.</t>
  </si>
  <si>
    <t xml:space="preserve">Netlify (hospedagem dos sites)</t>
  </si>
  <si>
    <t xml:space="preserve">Hospedagem</t>
  </si>
  <si>
    <t xml:space="preserve">Plano grátis. Se mudar de plano, atualize o valor.</t>
  </si>
  <si>
    <t xml:space="preserve">Shopify Basic</t>
  </si>
  <si>
    <t xml:space="preserve">Shopify e plataformas</t>
  </si>
  <si>
    <t xml:space="preserve">US$ 39 no plano mensal ou US$ 29/mês no anual (preço público). Se a loja for do cliente, quem paga é ele.</t>
  </si>
  <si>
    <t xml:space="preserve">Canva Pro</t>
  </si>
  <si>
    <t xml:space="preserve">Ferramentas e apps</t>
  </si>
  <si>
    <t xml:space="preserve">Preencha o valor e marque Sim se assinar.</t>
  </si>
  <si>
    <t xml:space="preserve">DAS do MEI</t>
  </si>
  <si>
    <t xml:space="preserve">Impostos (MEI / DAS)</t>
  </si>
  <si>
    <t xml:space="preserve">Se você for MEI, coloque o valor do boleto mensal.</t>
  </si>
  <si>
    <t xml:space="preserve">Internet e celular</t>
  </si>
  <si>
    <t xml:space="preserve">Só a parte que você usa para o trabalho, se quiser contar.</t>
  </si>
  <si>
    <t xml:space="preserve">Os 12 meses lado a lado, calculados a partir dos lançamentos. Para começar outro ano, troque o primeiro mês.</t>
  </si>
  <si>
    <t xml:space="preserve">Primeiro mês</t>
  </si>
  <si>
    <t xml:space="preserve">Entradas</t>
  </si>
  <si>
    <t xml:space="preserve">Saídas</t>
  </si>
  <si>
    <t xml:space="preserve">Lucro</t>
  </si>
  <si>
    <t xml:space="preserve">Lucro acumulado</t>
  </si>
  <si>
    <t xml:space="preserve">Nº de entradas</t>
  </si>
  <si>
    <t xml:space="preserve">Total dos 12 meses</t>
  </si>
  <si>
    <t xml:space="preserve">Entradas por categoria</t>
  </si>
  <si>
    <t xml:space="preserve">Total de entradas</t>
  </si>
  <si>
    <t xml:space="preserve">Saídas por categoria</t>
  </si>
  <si>
    <t xml:space="preserve">Total de saídas</t>
  </si>
  <si>
    <t xml:space="preserve">Os preços do catálogo, as horas que cada pacote toma e quanto sobra por hora. Mude preço e horas para testar.</t>
  </si>
  <si>
    <t xml:space="preserve">Seu valor-hora mínimo (R$)</t>
  </si>
  <si>
    <t xml:space="preserve">Imposto sobre o que recebe (%)</t>
  </si>
  <si>
    <t xml:space="preserve">Linha</t>
  </si>
  <si>
    <t xml:space="preserve">Preço (R$)</t>
  </si>
  <si>
    <t xml:space="preserve">Horas de trabalho</t>
  </si>
  <si>
    <t xml:space="preserve">Custos diretos (R$)</t>
  </si>
  <si>
    <t xml:space="preserve">Imposto (R$)</t>
  </si>
  <si>
    <t xml:space="preserve">Sobra (R$)</t>
  </si>
  <si>
    <t xml:space="preserve">Sobra por hora (R$)</t>
  </si>
  <si>
    <t xml:space="preserve">Situação</t>
  </si>
  <si>
    <t xml:space="preserve">Sites com pedido no WhatsApp</t>
  </si>
  <si>
    <t xml:space="preserve">Essencial</t>
  </si>
  <si>
    <t xml:space="preserve">Premium</t>
  </si>
  <si>
    <t xml:space="preserve">Lojas virtuais</t>
  </si>
  <si>
    <t xml:space="preserve">Loja Start</t>
  </si>
  <si>
    <t xml:space="preserve">Loja Pro</t>
  </si>
  <si>
    <t xml:space="preserve">Loja Sob Medida (a partir de)</t>
  </si>
  <si>
    <t xml:space="preserve">SaaS e sistemas</t>
  </si>
  <si>
    <t xml:space="preserve">Sistema MVP (a partir de)</t>
  </si>
  <si>
    <t xml:space="preserve">SaaS Completo (a partir de)</t>
  </si>
  <si>
    <t xml:space="preserve">Plataforma + IA (a partir de)</t>
  </si>
  <si>
    <t xml:space="preserve">Extras</t>
  </si>
  <si>
    <t xml:space="preserve">Página extra</t>
  </si>
  <si>
    <t xml:space="preserve">Animação exclusiva extra</t>
  </si>
  <si>
    <t xml:space="preserve">Cadastro de 50 produtos</t>
  </si>
  <si>
    <t xml:space="preserve">Google Meu Negócio</t>
  </si>
  <si>
    <t xml:space="preserve">Imagens e vídeos com IA</t>
  </si>
  <si>
    <t xml:space="preserve">Ajuste avulso</t>
  </si>
  <si>
    <t xml:space="preserve">Mensalidades</t>
  </si>
  <si>
    <t xml:space="preserve">Plano de ajustes do site (por mês)</t>
  </si>
  <si>
    <t xml:space="preserve">Manutenção da loja (por mês)</t>
  </si>
  <si>
    <t xml:space="preserve">Hospedagem e suporte de sistemas (por mês)</t>
  </si>
  <si>
    <t xml:space="preserve">Referências de mercado usadas para montar os preços (pesquisa de outubro de 2026)</t>
  </si>
  <si>
    <t xml:space="preserve">O quê</t>
  </si>
  <si>
    <t xml:space="preserve">Faixa</t>
  </si>
  <si>
    <t xml:space="preserve">Fonte</t>
  </si>
  <si>
    <t xml:space="preserve">Landing page, freelancer intermediário</t>
  </si>
  <si>
    <t xml:space="preserve">R$ 900 a R$ 2.500</t>
  </si>
  <si>
    <t xml:space="preserve">bigdatauniversity.com.br/quanto-cobrar-por-uma-landing-page</t>
  </si>
  <si>
    <t xml:space="preserve">Loja Shopify ou Nuvemshop com tema e customização</t>
  </si>
  <si>
    <t xml:space="preserve">R$ 3.000 a R$ 8.000</t>
  </si>
  <si>
    <t xml:space="preserve">freelasemcrise.com.br/quanto-cobrar/criar-loja-virtual</t>
  </si>
  <si>
    <t xml:space="preserve">MVP de SaaS feito por freelancer</t>
  </si>
  <si>
    <t xml:space="preserve">US$ 5 mil a US$ 20 mil</t>
  </si>
  <si>
    <t xml:space="preserve">we0.ai (guia de MVP para startups, 2026)</t>
  </si>
  <si>
    <t xml:space="preserve">Shopify Basic (plataforma)</t>
  </si>
  <si>
    <t xml:space="preserve">US$ 29/mês no anual · US$ 39 no mensal</t>
  </si>
  <si>
    <t xml:space="preserve">pt.shopify.com/pricing</t>
  </si>
  <si>
    <t xml:space="preserve">Domínio .com.br</t>
  </si>
  <si>
    <t xml:space="preserve">cerca de R$ 40 por ano</t>
  </si>
  <si>
    <t xml:space="preserve">registro.br (valor citado no site da Porta Studio)</t>
  </si>
  <si>
    <t xml:space="preserve">Categorias e opções usadas nos menus. Para criar uma categoria nova, escreva no fim da lista e escolha o tipo.</t>
  </si>
  <si>
    <t xml:space="preserve">Nº entrada</t>
  </si>
  <si>
    <t xml:space="preserve">Nº saída</t>
  </si>
  <si>
    <t xml:space="preserve">Tipo de projeto</t>
  </si>
  <si>
    <t xml:space="preserve">Status do projeto</t>
  </si>
  <si>
    <t xml:space="preserve">Entrada</t>
  </si>
  <si>
    <t xml:space="preserve">Orçamento</t>
  </si>
  <si>
    <t xml:space="preserve">Loja virtual</t>
  </si>
  <si>
    <t xml:space="preserve">SaaS / sistema</t>
  </si>
  <si>
    <t xml:space="preserve">Cartão de débito</t>
  </si>
  <si>
    <t xml:space="preserve">Entregue</t>
  </si>
  <si>
    <t xml:space="preserve">Mensalidade de cliente</t>
  </si>
  <si>
    <t xml:space="preserve">Boleto</t>
  </si>
  <si>
    <t xml:space="preserve">Extras e ajustes</t>
  </si>
  <si>
    <t xml:space="preserve">Cancelado</t>
  </si>
  <si>
    <t xml:space="preserve">Transferência</t>
  </si>
  <si>
    <t xml:space="preserve">Repasse de domínio</t>
  </si>
  <si>
    <t xml:space="preserve">Dinheiro</t>
  </si>
  <si>
    <t xml:space="preserve">Outras entradas</t>
  </si>
  <si>
    <t xml:space="preserve">Saída</t>
  </si>
  <si>
    <t xml:space="preserve">Anúncios e marketing</t>
  </si>
  <si>
    <t xml:space="preserve">Taxas de pagamento</t>
  </si>
  <si>
    <t xml:space="preserve">Freelancers e terceiros</t>
  </si>
  <si>
    <t xml:space="preserve">Equipamentos</t>
  </si>
  <si>
    <t xml:space="preserve">Outras saídas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</si>
</sst>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mmm/yy"/>
    <numFmt numFmtId="166" formatCode="&quot;R$ &quot;#,##0.00;[RED]&quot;-R$ &quot;#,##0.00;\-"/>
    <numFmt numFmtId="167" formatCode="0.0%;[RED]\-0.0%;\-"/>
    <numFmt numFmtId="168" formatCode="&quot;R$ &quot;#,##0"/>
    <numFmt numFmtId="169" formatCode="dd/mm/yyyy"/>
    <numFmt numFmtId="170" formatCode="&quot;R$ &quot;#,##0.00"/>
    <numFmt numFmtId="171" formatCode="0.0%"/>
    <numFmt numFmtId="172" formatCode="#,##0.00"/>
    <numFmt numFmtId="173" formatCode="0;\-0;\-"/>
    <numFmt numFmtId="174" formatCode="&quot;R$ &quot;#,##0;[RED]&quot;-R$ &quot;#,##0;\-"/>
    <numFmt numFmtId="175" formatCode="0.0"/>
    <numFmt numFmtId="176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181C"/>
      <name val="Arial"/>
      <family val="0"/>
      <charset val="1"/>
    </font>
    <font>
      <sz val="10"/>
      <color rgb="FF5B5E66"/>
      <name val="Arial"/>
      <family val="0"/>
      <charset val="1"/>
    </font>
    <font>
      <b val="true"/>
      <sz val="12"/>
      <color rgb="FF1F3F8C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7181C"/>
      <name val="Arial"/>
      <family val="0"/>
      <charset val="1"/>
    </font>
    <font>
      <b val="true"/>
      <sz val="11"/>
      <color rgb="FF1F3F8C"/>
      <name val="Arial"/>
      <family val="0"/>
      <charset val="1"/>
    </font>
    <font>
      <b val="true"/>
      <sz val="10"/>
      <color rgb="FF17181C"/>
      <name val="Arial"/>
      <family val="0"/>
      <charset val="1"/>
    </font>
    <font>
      <b val="true"/>
      <sz val="10"/>
      <color rgb="FF5B5E66"/>
      <name val="Arial"/>
      <family val="0"/>
      <charset val="1"/>
    </font>
    <font>
      <b val="true"/>
      <sz val="10"/>
      <color rgb="FFC9D3EC"/>
      <name val="Arial"/>
      <family val="0"/>
      <charset val="1"/>
    </font>
    <font>
      <b val="true"/>
      <sz val="20"/>
      <color rgb="FF17181C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9"/>
      <color rgb="FF5B5E66"/>
      <name val="Arial"/>
      <family val="0"/>
      <charset val="1"/>
    </font>
    <font>
      <sz val="9"/>
      <color rgb="FFC9D3E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4D6"/>
        <bgColor rgb="FFF1F1EE"/>
      </patternFill>
    </fill>
    <fill>
      <patternFill patternType="solid">
        <fgColor rgb="FFF1F1EE"/>
        <bgColor rgb="FFE4E8F3"/>
      </patternFill>
    </fill>
    <fill>
      <patternFill patternType="solid">
        <fgColor rgb="FFFFFFFF"/>
        <bgColor rgb="FFF1F1EE"/>
      </patternFill>
    </fill>
    <fill>
      <patternFill patternType="solid">
        <fgColor rgb="FF1F3F8C"/>
        <bgColor rgb="FF003366"/>
      </patternFill>
    </fill>
    <fill>
      <patternFill patternType="solid">
        <fgColor rgb="FFE4E8F3"/>
        <bgColor rgb="FFE6E6E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DDCD5"/>
      </left>
      <right style="thin">
        <color rgb="FFDDDCD5"/>
      </right>
      <top style="thin">
        <color rgb="FFDDDCD5"/>
      </top>
      <bottom style="thin">
        <color rgb="FFDDDCD5"/>
      </bottom>
      <diagonal/>
    </border>
    <border diagonalUp="false" diagonalDown="false">
      <left style="thin">
        <color rgb="FFDDDCD5"/>
      </left>
      <right style="thin">
        <color rgb="FFDDDCD5"/>
      </right>
      <top style="thin">
        <color rgb="FFDDDCD5"/>
      </top>
      <bottom/>
      <diagonal/>
    </border>
    <border diagonalUp="false" diagonalDown="false">
      <left style="thin">
        <color rgb="FFDDDCD5"/>
      </left>
      <right style="thin">
        <color rgb="FFDDDCD5"/>
      </right>
      <top/>
      <bottom/>
      <diagonal/>
    </border>
    <border diagonalUp="false" diagonalDown="false">
      <left style="thin">
        <color rgb="FFDDDCD5"/>
      </left>
      <right style="thin">
        <color rgb="FFDDDCD5"/>
      </right>
      <top/>
      <bottom style="thin">
        <color rgb="FFDDDCD5"/>
      </bottom>
      <diagonal/>
    </border>
    <border diagonalUp="false" diagonalDown="false">
      <left/>
      <right/>
      <top/>
      <bottom style="thin">
        <color rgb="FFDDDC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3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4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6" fillId="5" borderId="4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ont>
        <name val="Arial"/>
        <charset val="1"/>
        <family val="0"/>
        <b val="1"/>
        <color rgb="FFB3261E"/>
      </font>
    </dxf>
    <dxf>
      <font>
        <name val="Arial"/>
        <charset val="1"/>
        <family val="0"/>
        <b val="1"/>
        <color rgb="FF1E7B34"/>
      </font>
    </dxf>
    <dxf>
      <fill>
        <patternFill patternType="solid">
          <fgColor rgb="FF1F3F8C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F1EE"/>
          <bgColor rgb="FF000000"/>
        </patternFill>
      </fill>
    </dxf>
    <dxf>
      <fill>
        <patternFill patternType="solid">
          <fgColor rgb="FF17181C"/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color rgb="FF1E7B34"/>
      </font>
    </dxf>
    <dxf>
      <font>
        <name val="Arial"/>
        <charset val="1"/>
        <family val="0"/>
        <color rgb="FFB3261E"/>
      </font>
    </dxf>
    <dxf>
      <fill>
        <patternFill>
          <bgColor rgb="FFF9D7D3"/>
        </patternFill>
      </fill>
    </dxf>
    <dxf>
      <fill>
        <patternFill patternType="solid">
          <fgColor rgb="FFE4E8F3"/>
          <bgColor rgb="FF000000"/>
        </patternFill>
      </fill>
    </dxf>
    <dxf>
      <fill>
        <patternFill patternType="solid">
          <fgColor rgb="FF9A5B00"/>
          <bgColor rgb="FF000000"/>
        </patternFill>
      </fill>
    </dxf>
    <dxf>
      <font>
        <name val="Arial"/>
        <charset val="1"/>
        <family val="0"/>
        <strike val="1"/>
        <color rgb="FF9A9A9A"/>
      </font>
    </dxf>
    <dxf>
      <fill>
        <patternFill>
          <bgColor rgb="FFDCEFE0"/>
        </patternFill>
      </fill>
    </dxf>
    <dxf>
      <fill>
        <patternFill>
          <bgColor rgb="FFE4E8F3"/>
        </patternFill>
      </fill>
    </dxf>
    <dxf>
      <font>
        <name val="Arial"/>
        <charset val="1"/>
        <family val="0"/>
        <b val="1"/>
        <color rgb="FF9A5B00"/>
      </font>
    </dxf>
    <dxf>
      <font>
        <name val="Arial"/>
        <charset val="1"/>
        <family val="0"/>
        <color rgb="FF9A9A9A"/>
      </font>
    </dxf>
    <dxf>
      <font>
        <name val="Arial"/>
        <charset val="1"/>
        <family val="0"/>
        <b val="1"/>
        <color rgb="FFB3261E"/>
      </font>
      <fill>
        <patternFill>
          <bgColor rgb="FFF9D7D3"/>
        </patternFill>
      </fill>
    </dxf>
    <dxf>
      <font>
        <name val="Arial"/>
        <charset val="1"/>
        <family val="0"/>
        <color rgb="FF1E7B34"/>
      </font>
      <fill>
        <patternFill>
          <bgColor rgb="FFDCEF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9A5B00"/>
      <rgbColor rgb="FF800080"/>
      <rgbColor rgb="FF008080"/>
      <rgbColor rgb="FFBBBBBB"/>
      <rgbColor rgb="FF878787"/>
      <rgbColor rgb="FF9999FF"/>
      <rgbColor rgb="FF993366"/>
      <rgbColor rgb="FFFFF4D6"/>
      <rgbColor rgb="FFE4E8F3"/>
      <rgbColor rgb="FF660066"/>
      <rgbColor rgb="FFFF8080"/>
      <rgbColor rgb="FF0066CC"/>
      <rgbColor rgb="FFC9D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EE"/>
      <rgbColor rgb="FFDCEFE0"/>
      <rgbColor rgb="FFE6E6E1"/>
      <rgbColor rgb="FFD9D9D9"/>
      <rgbColor rgb="FFFF99CC"/>
      <rgbColor rgb="FFDDDCD5"/>
      <rgbColor rgb="FFF9D7D3"/>
      <rgbColor rgb="FF2F55B5"/>
      <rgbColor rgb="FF33CCCC"/>
      <rgbColor rgb="FF99CC00"/>
      <rgbColor rgb="FFFFCC00"/>
      <rgbColor rgb="FFD89A2A"/>
      <rgbColor rgb="FFBF7F12"/>
      <rgbColor rgb="FF5B5E66"/>
      <rgbColor rgb="FF9A9A9A"/>
      <rgbColor rgb="FF003366"/>
      <rgbColor rgb="FF339966"/>
      <rgbColor rgb="FF17181C"/>
      <rgbColor rgb="FF333300"/>
      <rgbColor rgb="FFB3261E"/>
      <rgbColor rgb="FF993366"/>
      <rgbColor rgb="FF1F3F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Entradas e saídas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'Resumo mensal'!C6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2f55b5"/>
            </a:solidFill>
            <a:ln w="0">
              <a:solidFill>
                <a:srgbClr val="2f55b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mensal'!$B$7:$B$18</c:f>
              <c:strCache>
                <c:ptCount val="12"/>
                <c:pt idx="0">
                  <c:v>Nov/26</c:v>
                </c:pt>
                <c:pt idx="1">
                  <c:v>Dec/26</c:v>
                </c:pt>
                <c:pt idx="2">
                  <c:v>Jan/27</c:v>
                </c:pt>
                <c:pt idx="3">
                  <c:v>Feb/27</c:v>
                </c:pt>
                <c:pt idx="4">
                  <c:v>Mar/27</c:v>
                </c:pt>
                <c:pt idx="5">
                  <c:v>Apr/27</c:v>
                </c:pt>
                <c:pt idx="6">
                  <c:v>May/27</c:v>
                </c:pt>
                <c:pt idx="7">
                  <c:v>Jun/27</c:v>
                </c:pt>
                <c:pt idx="8">
                  <c:v>Jul/27</c:v>
                </c:pt>
                <c:pt idx="9">
                  <c:v>Aug/27</c:v>
                </c:pt>
                <c:pt idx="10">
                  <c:v>Sep/27</c:v>
                </c:pt>
                <c:pt idx="11">
                  <c:v>Oct/27</c:v>
                </c:pt>
              </c:strCache>
            </c:strRef>
          </c:cat>
          <c:val>
            <c:numRef>
              <c:f>'Resumo mensal'!$C$7:$C$18</c:f>
              <c:numCache>
                <c:formatCode>"R$ "#,##0.00;[RED]"-R$ "#,##0.00;\-</c:formatCode>
                <c:ptCount val="12"/>
                <c:pt idx="0">
                  <c:v>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'Resumo mensal'!D6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rgbClr val="bf7f12"/>
            </a:solidFill>
            <a:ln w="0">
              <a:solidFill>
                <a:srgbClr val="bf7f1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mensal'!$B$7:$B$18</c:f>
              <c:strCache>
                <c:ptCount val="12"/>
                <c:pt idx="0">
                  <c:v>Nov/26</c:v>
                </c:pt>
                <c:pt idx="1">
                  <c:v>Dec/26</c:v>
                </c:pt>
                <c:pt idx="2">
                  <c:v>Jan/27</c:v>
                </c:pt>
                <c:pt idx="3">
                  <c:v>Feb/27</c:v>
                </c:pt>
                <c:pt idx="4">
                  <c:v>Mar/27</c:v>
                </c:pt>
                <c:pt idx="5">
                  <c:v>Apr/27</c:v>
                </c:pt>
                <c:pt idx="6">
                  <c:v>May/27</c:v>
                </c:pt>
                <c:pt idx="7">
                  <c:v>Jun/27</c:v>
                </c:pt>
                <c:pt idx="8">
                  <c:v>Jul/27</c:v>
                </c:pt>
                <c:pt idx="9">
                  <c:v>Aug/27</c:v>
                </c:pt>
                <c:pt idx="10">
                  <c:v>Sep/27</c:v>
                </c:pt>
                <c:pt idx="11">
                  <c:v>Oct/27</c:v>
                </c:pt>
              </c:strCache>
            </c:strRef>
          </c:cat>
          <c:val>
            <c:numRef>
              <c:f>'Resumo mensal'!$D$7:$D$18</c:f>
              <c:numCache>
                <c:formatCode>"R$ "#,##0.00;[RED]"-R$ "#,##0.00;\-</c:formatCode>
                <c:ptCount val="12"/>
                <c:pt idx="0">
                  <c:v>114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-8"/>
        <c:axId val="49989029"/>
        <c:axId val="77704098"/>
      </c:barChart>
      <c:catAx>
        <c:axId val="49989029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04098"/>
        <c:crosses val="autoZero"/>
        <c:auto val="1"/>
        <c:lblAlgn val="ctr"/>
        <c:lblOffset val="100"/>
        <c:noMultiLvlLbl val="0"/>
      </c:catAx>
      <c:valAx>
        <c:axId val="77704098"/>
        <c:scaling>
          <c:orientation val="minMax"/>
        </c:scaling>
        <c:delete val="0"/>
        <c:axPos val="l"/>
        <c:majorGridlines>
          <c:spPr>
            <a:ln w="9360">
              <a:solidFill>
                <a:srgbClr val="e6e6e1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890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Saídas por categoria nos 12 meses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bf7f12"/>
            </a:solidFill>
            <a:ln w="0">
              <a:solidFill>
                <a:srgbClr val="bf7f1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mensal'!$B$39:$B$50</c:f>
              <c:strCache>
                <c:ptCount val="12"/>
                <c:pt idx="0">
                  <c:v>Inteligência artificial</c:v>
                </c:pt>
                <c:pt idx="1">
                  <c:v>Domínios</c:v>
                </c:pt>
                <c:pt idx="2">
                  <c:v>Hospedagem</c:v>
                </c:pt>
                <c:pt idx="3">
                  <c:v>Shopify e plataformas</c:v>
                </c:pt>
                <c:pt idx="4">
                  <c:v>Ferramentas e apps</c:v>
                </c:pt>
                <c:pt idx="5">
                  <c:v>Anúncios e marketing</c:v>
                </c:pt>
                <c:pt idx="6">
                  <c:v>Impostos (MEI / DAS)</c:v>
                </c:pt>
                <c:pt idx="7">
                  <c:v>Taxas de pagamento</c:v>
                </c:pt>
                <c:pt idx="8">
                  <c:v>Freelancers e terceiros</c:v>
                </c:pt>
                <c:pt idx="9">
                  <c:v>Equipamentos</c:v>
                </c:pt>
                <c:pt idx="10">
                  <c:v>Internet e celular</c:v>
                </c:pt>
                <c:pt idx="11">
                  <c:v>Outras saídas</c:v>
                </c:pt>
              </c:strCache>
            </c:strRef>
          </c:cat>
          <c:val>
            <c:numRef>
              <c:f>'Resumo mensal'!$O$39:$O$50</c:f>
              <c:numCache>
                <c:formatCode>"R$ "#,##0;[RED]"-R$ "#,##0;\-</c:formatCode>
                <c:ptCount val="12"/>
                <c:pt idx="0">
                  <c:v>114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overlap val="0"/>
        <c:axId val="3101341"/>
        <c:axId val="51506587"/>
      </c:barChart>
      <c:catAx>
        <c:axId val="310134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06587"/>
        <c:crosses val="autoZero"/>
        <c:auto val="1"/>
        <c:lblAlgn val="ctr"/>
        <c:lblOffset val="100"/>
        <c:noMultiLvlLbl val="0"/>
      </c:catAx>
      <c:valAx>
        <c:axId val="51506587"/>
        <c:scaling>
          <c:orientation val="minMax"/>
        </c:scaling>
        <c:delete val="0"/>
        <c:axPos val="l"/>
        <c:majorGridlines>
          <c:spPr>
            <a:ln w="9360">
              <a:solidFill>
                <a:srgbClr val="e6e6e1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13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14</xdr:row>
      <xdr:rowOff>101160</xdr:rowOff>
    </xdr:from>
    <xdr:to>
      <xdr:col>12</xdr:col>
      <xdr:colOff>167400</xdr:colOff>
      <xdr:row>29</xdr:row>
      <xdr:rowOff>109440</xdr:rowOff>
    </xdr:to>
    <xdr:graphicFrame>
      <xdr:nvGraphicFramePr>
        <xdr:cNvPr id="0" name="Chart 1"/>
        <xdr:cNvGraphicFramePr/>
      </xdr:nvGraphicFramePr>
      <xdr:xfrm>
        <a:off x="6484680" y="373392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31</xdr:row>
      <xdr:rowOff>101160</xdr:rowOff>
    </xdr:from>
    <xdr:to>
      <xdr:col>12</xdr:col>
      <xdr:colOff>167400</xdr:colOff>
      <xdr:row>47</xdr:row>
      <xdr:rowOff>4680</xdr:rowOff>
    </xdr:to>
    <xdr:graphicFrame>
      <xdr:nvGraphicFramePr>
        <xdr:cNvPr id="1" name="Chart 2"/>
        <xdr:cNvGraphicFramePr/>
      </xdr:nvGraphicFramePr>
      <xdr:xfrm>
        <a:off x="6484680" y="705816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9A2A"/>
    <pageSetUpPr fitToPage="true"/>
  </sheetPr>
  <dimension ref="B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24"/>
    <col collapsed="false" customWidth="true" hidden="false" outlineLevel="0" max="4" min="4" style="0" width="90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C5" s="4" t="s">
        <v>3</v>
      </c>
      <c r="D5" s="5" t="s">
        <v>4</v>
      </c>
    </row>
    <row r="6" customFormat="false" ht="15" hidden="false" customHeight="false" outlineLevel="0" collapsed="false">
      <c r="C6" s="6" t="s">
        <v>3</v>
      </c>
      <c r="D6" s="5" t="s">
        <v>5</v>
      </c>
    </row>
    <row r="7" customFormat="false" ht="15" hidden="false" customHeight="false" outlineLevel="0" collapsed="false">
      <c r="C7" s="7" t="s">
        <v>6</v>
      </c>
      <c r="D7" s="5" t="s">
        <v>7</v>
      </c>
    </row>
    <row r="9" customFormat="false" ht="15" hidden="false" customHeight="false" outlineLevel="0" collapsed="false">
      <c r="B9" s="3" t="s">
        <v>8</v>
      </c>
    </row>
    <row r="10" customFormat="false" ht="42" hidden="false" customHeight="true" outlineLevel="0" collapsed="false">
      <c r="B10" s="8" t="n">
        <v>1</v>
      </c>
      <c r="C10" s="9" t="s">
        <v>9</v>
      </c>
      <c r="D10" s="10" t="s">
        <v>10</v>
      </c>
    </row>
    <row r="11" customFormat="false" ht="42" hidden="false" customHeight="true" outlineLevel="0" collapsed="false">
      <c r="B11" s="8" t="n">
        <v>2</v>
      </c>
      <c r="C11" s="9" t="s">
        <v>11</v>
      </c>
      <c r="D11" s="10" t="s">
        <v>12</v>
      </c>
    </row>
    <row r="12" customFormat="false" ht="42" hidden="false" customHeight="true" outlineLevel="0" collapsed="false">
      <c r="B12" s="8" t="n">
        <v>3</v>
      </c>
      <c r="C12" s="9" t="s">
        <v>13</v>
      </c>
      <c r="D12" s="10" t="s">
        <v>14</v>
      </c>
    </row>
    <row r="13" customFormat="false" ht="42" hidden="false" customHeight="true" outlineLevel="0" collapsed="false">
      <c r="B13" s="8" t="n">
        <v>4</v>
      </c>
      <c r="C13" s="9" t="s">
        <v>15</v>
      </c>
      <c r="D13" s="10" t="s">
        <v>16</v>
      </c>
    </row>
    <row r="14" customFormat="false" ht="42" hidden="false" customHeight="true" outlineLevel="0" collapsed="false">
      <c r="B14" s="8" t="n">
        <v>5</v>
      </c>
      <c r="C14" s="9" t="s">
        <v>17</v>
      </c>
      <c r="D14" s="10" t="s">
        <v>18</v>
      </c>
    </row>
    <row r="15" customFormat="false" ht="42" hidden="false" customHeight="true" outlineLevel="0" collapsed="false">
      <c r="B15" s="8" t="n">
        <v>6</v>
      </c>
      <c r="C15" s="9" t="s">
        <v>19</v>
      </c>
      <c r="D15" s="10" t="s">
        <v>20</v>
      </c>
    </row>
    <row r="16" customFormat="false" ht="42" hidden="false" customHeight="true" outlineLevel="0" collapsed="false">
      <c r="B16" s="8" t="n">
        <v>7</v>
      </c>
      <c r="C16" s="9" t="s">
        <v>21</v>
      </c>
      <c r="D16" s="10" t="s">
        <v>22</v>
      </c>
    </row>
    <row r="18" customFormat="false" ht="15" hidden="false" customHeight="false" outlineLevel="0" collapsed="false">
      <c r="B18" s="3" t="s">
        <v>23</v>
      </c>
    </row>
    <row r="19" customFormat="false" ht="15" hidden="false" customHeight="false" outlineLevel="0" collapsed="false">
      <c r="C19" s="11" t="s">
        <v>24</v>
      </c>
      <c r="D19" s="10" t="s">
        <v>25</v>
      </c>
    </row>
    <row r="20" customFormat="false" ht="15" hidden="false" customHeight="false" outlineLevel="0" collapsed="false">
      <c r="C20" s="11" t="s">
        <v>24</v>
      </c>
      <c r="D20" s="10" t="s">
        <v>26</v>
      </c>
    </row>
    <row r="21" customFormat="false" ht="15" hidden="false" customHeight="false" outlineLevel="0" collapsed="false">
      <c r="C21" s="11" t="s">
        <v>24</v>
      </c>
      <c r="D21" s="1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8C"/>
    <pageSetUpPr fitToPage="true"/>
  </sheetPr>
  <dimension ref="B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6"/>
  </cols>
  <sheetData>
    <row r="1" customFormat="false" ht="22.05" hidden="false" customHeight="false" outlineLevel="0" collapsed="false">
      <c r="B1" s="1" t="s">
        <v>28</v>
      </c>
    </row>
    <row r="2" customFormat="false" ht="15" hidden="false" customHeight="false" outlineLevel="0" collapsed="false">
      <c r="B2" s="2" t="s">
        <v>29</v>
      </c>
    </row>
    <row r="4" customFormat="false" ht="24" hidden="false" customHeight="true" outlineLevel="0" collapsed="false">
      <c r="B4" s="12" t="s">
        <v>30</v>
      </c>
      <c r="C4" s="13" t="n">
        <v>46327</v>
      </c>
    </row>
    <row r="6" customFormat="false" ht="15" hidden="false" customHeight="false" outlineLevel="0" collapsed="false">
      <c r="B6" s="3" t="s">
        <v>31</v>
      </c>
    </row>
    <row r="7" customFormat="false" ht="21.75" hidden="false" customHeight="true" outlineLevel="0" collapsed="false">
      <c r="B7" s="14" t="s">
        <v>32</v>
      </c>
      <c r="C7" s="14"/>
      <c r="E7" s="14" t="s">
        <v>33</v>
      </c>
      <c r="F7" s="14"/>
      <c r="H7" s="15" t="s">
        <v>34</v>
      </c>
      <c r="I7" s="15"/>
      <c r="K7" s="14" t="s">
        <v>35</v>
      </c>
      <c r="L7" s="14"/>
    </row>
    <row r="8" customFormat="false" ht="33.75" hidden="false" customHeight="true" outlineLevel="0" collapsed="false">
      <c r="B8" s="16" t="n">
        <f aca="false">SUMIFS(Lançamentos!$G$5:$G$1004,Lançamentos!$C$5:$C$1004,"Entrada",Lançamentos!$H$5:$H$1004,$C$4)</f>
        <v>600</v>
      </c>
      <c r="C8" s="16"/>
      <c r="E8" s="16" t="n">
        <f aca="false">SUMIFS(Lançamentos!$G$5:$G$1004,Lançamentos!$C$5:$C$1004,"Saída",Lançamentos!$H$5:$H$1004,$C$4)</f>
        <v>114</v>
      </c>
      <c r="F8" s="16"/>
      <c r="H8" s="17" t="n">
        <f aca="false">B8-E8</f>
        <v>486</v>
      </c>
      <c r="I8" s="17"/>
      <c r="K8" s="18" t="n">
        <f aca="false">IF(B8&gt;0,H8/B8,0)</f>
        <v>0.81</v>
      </c>
      <c r="L8" s="18"/>
    </row>
    <row r="9" customFormat="false" ht="19.5" hidden="false" customHeight="true" outlineLevel="0" collapsed="false">
      <c r="B9" s="19" t="s">
        <v>36</v>
      </c>
      <c r="C9" s="19"/>
      <c r="E9" s="19" t="s">
        <v>37</v>
      </c>
      <c r="F9" s="19"/>
      <c r="H9" s="20" t="s">
        <v>38</v>
      </c>
      <c r="I9" s="20"/>
      <c r="K9" s="19" t="s">
        <v>39</v>
      </c>
      <c r="L9" s="19"/>
    </row>
    <row r="11" customFormat="false" ht="15" hidden="false" customHeight="false" outlineLevel="0" collapsed="false">
      <c r="B11" s="3" t="s">
        <v>40</v>
      </c>
    </row>
    <row r="12" customFormat="false" ht="21.75" hidden="false" customHeight="true" outlineLevel="0" collapsed="false">
      <c r="B12" s="14" t="s">
        <v>41</v>
      </c>
      <c r="C12" s="14"/>
      <c r="E12" s="14" t="s">
        <v>42</v>
      </c>
      <c r="F12" s="14"/>
      <c r="H12" s="14" t="s">
        <v>43</v>
      </c>
      <c r="I12" s="14"/>
      <c r="K12" s="14" t="s">
        <v>44</v>
      </c>
      <c r="L12" s="14"/>
    </row>
    <row r="13" customFormat="false" ht="33.75" hidden="false" customHeight="true" outlineLevel="0" collapsed="false">
      <c r="B13" s="16" t="n">
        <f aca="false">'Resumo mensal'!E19</f>
        <v>486</v>
      </c>
      <c r="C13" s="16"/>
      <c r="E13" s="16" t="n">
        <f aca="false">SUM(Projetos!J5:J204)</f>
        <v>600</v>
      </c>
      <c r="F13" s="16"/>
      <c r="H13" s="16" t="n">
        <f aca="false">'Custos fixos'!H4</f>
        <v>339.190833333333</v>
      </c>
      <c r="I13" s="16"/>
      <c r="K13" s="16" t="n">
        <f aca="false">SUMIFS(Projetos!M5:M204,Projetos!G5:G204,"Em produção")+SUMIFS(Projetos!M5:M204,Projetos!G5:G204,"Entregue")</f>
        <v>90</v>
      </c>
      <c r="L13" s="16"/>
    </row>
    <row r="14" customFormat="false" ht="19.5" hidden="false" customHeight="true" outlineLevel="0" collapsed="false">
      <c r="B14" s="19" t="s">
        <v>45</v>
      </c>
      <c r="C14" s="19"/>
      <c r="E14" s="19" t="s">
        <v>46</v>
      </c>
      <c r="F14" s="19"/>
      <c r="H14" s="19" t="s">
        <v>47</v>
      </c>
      <c r="I14" s="19"/>
      <c r="K14" s="19" t="s">
        <v>48</v>
      </c>
      <c r="L14" s="19"/>
    </row>
    <row r="16" customFormat="false" ht="15" hidden="false" customHeight="false" outlineLevel="0" collapsed="false">
      <c r="B16" s="3" t="s">
        <v>49</v>
      </c>
      <c r="E16" s="3" t="s">
        <v>50</v>
      </c>
    </row>
    <row r="17" customFormat="false" ht="21.75" hidden="false" customHeight="true" outlineLevel="0" collapsed="false">
      <c r="B17" s="21" t="s">
        <v>51</v>
      </c>
      <c r="C17" s="21" t="s">
        <v>52</v>
      </c>
      <c r="E17" s="21" t="s">
        <v>53</v>
      </c>
      <c r="F17" s="21" t="s">
        <v>52</v>
      </c>
    </row>
    <row r="18" customFormat="false" ht="15" hidden="false" customHeight="false" outlineLevel="0" collapsed="false">
      <c r="B18" s="22" t="str">
        <f aca="false">IFERROR(INDEX(Listas!$B$5:$B$40,MATCH(ROWS($B$18:B18),Listas!$E$5:$E$40,0)),"")</f>
        <v>Inteligência artificial</v>
      </c>
      <c r="C18" s="23" t="n">
        <f aca="false">IF(B18="","",SUMIFS(Lançamentos!$G$5:$G$1004,Lançamentos!$B$5:$B$1004,B18,Lançamentos!$H$5:$H$1004,$C$4))</f>
        <v>114</v>
      </c>
      <c r="E18" s="22" t="str">
        <f aca="false">IFERROR(INDEX(Listas!$B$5:$B$40,MATCH(ROWS($E$18:E18),Listas!$D$5:$D$40,0)),"")</f>
        <v>Site WhatsApp</v>
      </c>
      <c r="F18" s="23" t="n">
        <f aca="false">IF(E18="","",SUMIFS(Lançamentos!$G$5:$G$1004,Lançamentos!$B$5:$B$1004,E18,Lançamentos!$H$5:$H$1004,$C$4))</f>
        <v>600</v>
      </c>
    </row>
    <row r="19" customFormat="false" ht="15" hidden="false" customHeight="false" outlineLevel="0" collapsed="false">
      <c r="B19" s="22" t="str">
        <f aca="false">IFERROR(INDEX(Listas!$B$5:$B$40,MATCH(ROWS($B$18:B19),Listas!$E$5:$E$40,0)),"")</f>
        <v>Domínios</v>
      </c>
      <c r="C19" s="23" t="n">
        <f aca="false">IF(B19="","",SUMIFS(Lançamentos!$G$5:$G$1004,Lançamentos!$B$5:$B$1004,B19,Lançamentos!$H$5:$H$1004,$C$4))</f>
        <v>0</v>
      </c>
      <c r="E19" s="22" t="str">
        <f aca="false">IFERROR(INDEX(Listas!$B$5:$B$40,MATCH(ROWS($E$18:E19),Listas!$D$5:$D$40,0)),"")</f>
        <v>Loja virtual</v>
      </c>
      <c r="F19" s="23" t="n">
        <f aca="false">IF(E19="","",SUMIFS(Lançamentos!$G$5:$G$1004,Lançamentos!$B$5:$B$1004,E19,Lançamentos!$H$5:$H$1004,$C$4))</f>
        <v>0</v>
      </c>
    </row>
    <row r="20" customFormat="false" ht="15" hidden="false" customHeight="false" outlineLevel="0" collapsed="false">
      <c r="B20" s="22" t="str">
        <f aca="false">IFERROR(INDEX(Listas!$B$5:$B$40,MATCH(ROWS($B$18:B20),Listas!$E$5:$E$40,0)),"")</f>
        <v>Hospedagem</v>
      </c>
      <c r="C20" s="23" t="n">
        <f aca="false">IF(B20="","",SUMIFS(Lançamentos!$G$5:$G$1004,Lançamentos!$B$5:$B$1004,B20,Lançamentos!$H$5:$H$1004,$C$4))</f>
        <v>0</v>
      </c>
      <c r="E20" s="22" t="str">
        <f aca="false">IFERROR(INDEX(Listas!$B$5:$B$40,MATCH(ROWS($E$18:E20),Listas!$D$5:$D$40,0)),"")</f>
        <v>SaaS / sistema</v>
      </c>
      <c r="F20" s="23" t="n">
        <f aca="false">IF(E20="","",SUMIFS(Lançamentos!$G$5:$G$1004,Lançamentos!$B$5:$B$1004,E20,Lançamentos!$H$5:$H$1004,$C$4))</f>
        <v>0</v>
      </c>
    </row>
    <row r="21" customFormat="false" ht="15" hidden="false" customHeight="false" outlineLevel="0" collapsed="false">
      <c r="B21" s="22" t="str">
        <f aca="false">IFERROR(INDEX(Listas!$B$5:$B$40,MATCH(ROWS($B$18:B21),Listas!$E$5:$E$40,0)),"")</f>
        <v>Shopify e plataformas</v>
      </c>
      <c r="C21" s="23" t="n">
        <f aca="false">IF(B21="","",SUMIFS(Lançamentos!$G$5:$G$1004,Lançamentos!$B$5:$B$1004,B21,Lançamentos!$H$5:$H$1004,$C$4))</f>
        <v>0</v>
      </c>
      <c r="E21" s="22" t="str">
        <f aca="false">IFERROR(INDEX(Listas!$B$5:$B$40,MATCH(ROWS($E$18:E21),Listas!$D$5:$D$40,0)),"")</f>
        <v>Mensalidade de cliente</v>
      </c>
      <c r="F21" s="23" t="n">
        <f aca="false">IF(E21="","",SUMIFS(Lançamentos!$G$5:$G$1004,Lançamentos!$B$5:$B$1004,E21,Lançamentos!$H$5:$H$1004,$C$4))</f>
        <v>0</v>
      </c>
    </row>
    <row r="22" customFormat="false" ht="15" hidden="false" customHeight="false" outlineLevel="0" collapsed="false">
      <c r="B22" s="22" t="str">
        <f aca="false">IFERROR(INDEX(Listas!$B$5:$B$40,MATCH(ROWS($B$18:B22),Listas!$E$5:$E$40,0)),"")</f>
        <v>Ferramentas e apps</v>
      </c>
      <c r="C22" s="23" t="n">
        <f aca="false">IF(B22="","",SUMIFS(Lançamentos!$G$5:$G$1004,Lançamentos!$B$5:$B$1004,B22,Lançamentos!$H$5:$H$1004,$C$4))</f>
        <v>0</v>
      </c>
      <c r="E22" s="22" t="str">
        <f aca="false">IFERROR(INDEX(Listas!$B$5:$B$40,MATCH(ROWS($E$18:E22),Listas!$D$5:$D$40,0)),"")</f>
        <v>Extras e ajustes</v>
      </c>
      <c r="F22" s="23" t="n">
        <f aca="false">IF(E22="","",SUMIFS(Lançamentos!$G$5:$G$1004,Lançamentos!$B$5:$B$1004,E22,Lançamentos!$H$5:$H$1004,$C$4))</f>
        <v>0</v>
      </c>
    </row>
    <row r="23" customFormat="false" ht="15" hidden="false" customHeight="false" outlineLevel="0" collapsed="false">
      <c r="B23" s="22" t="str">
        <f aca="false">IFERROR(INDEX(Listas!$B$5:$B$40,MATCH(ROWS($B$18:B23),Listas!$E$5:$E$40,0)),"")</f>
        <v>Anúncios e marketing</v>
      </c>
      <c r="C23" s="23" t="n">
        <f aca="false">IF(B23="","",SUMIFS(Lançamentos!$G$5:$G$1004,Lançamentos!$B$5:$B$1004,B23,Lançamentos!$H$5:$H$1004,$C$4))</f>
        <v>0</v>
      </c>
      <c r="E23" s="22" t="str">
        <f aca="false">IFERROR(INDEX(Listas!$B$5:$B$40,MATCH(ROWS($E$18:E23),Listas!$D$5:$D$40,0)),"")</f>
        <v>Repasse de domínio</v>
      </c>
      <c r="F23" s="23" t="n">
        <f aca="false">IF(E23="","",SUMIFS(Lançamentos!$G$5:$G$1004,Lançamentos!$B$5:$B$1004,E23,Lançamentos!$H$5:$H$1004,$C$4))</f>
        <v>0</v>
      </c>
    </row>
    <row r="24" customFormat="false" ht="15" hidden="false" customHeight="false" outlineLevel="0" collapsed="false">
      <c r="B24" s="22" t="str">
        <f aca="false">IFERROR(INDEX(Listas!$B$5:$B$40,MATCH(ROWS($B$18:B24),Listas!$E$5:$E$40,0)),"")</f>
        <v>Impostos (MEI / DAS)</v>
      </c>
      <c r="C24" s="23" t="n">
        <f aca="false">IF(B24="","",SUMIFS(Lançamentos!$G$5:$G$1004,Lançamentos!$B$5:$B$1004,B24,Lançamentos!$H$5:$H$1004,$C$4))</f>
        <v>0</v>
      </c>
      <c r="E24" s="22" t="str">
        <f aca="false">IFERROR(INDEX(Listas!$B$5:$B$40,MATCH(ROWS($E$18:E24),Listas!$D$5:$D$40,0)),"")</f>
        <v>Outras entradas</v>
      </c>
      <c r="F24" s="23" t="n">
        <f aca="false">IF(E24="","",SUMIFS(Lançamentos!$G$5:$G$1004,Lançamentos!$B$5:$B$1004,E24,Lançamentos!$H$5:$H$1004,$C$4))</f>
        <v>0</v>
      </c>
    </row>
    <row r="25" customFormat="false" ht="15" hidden="false" customHeight="false" outlineLevel="0" collapsed="false">
      <c r="B25" s="22" t="str">
        <f aca="false">IFERROR(INDEX(Listas!$B$5:$B$40,MATCH(ROWS($B$18:B25),Listas!$E$5:$E$40,0)),"")</f>
        <v>Taxas de pagamento</v>
      </c>
      <c r="C25" s="23" t="n">
        <f aca="false">IF(B25="","",SUMIFS(Lançamentos!$G$5:$G$1004,Lançamentos!$B$5:$B$1004,B25,Lançamentos!$H$5:$H$1004,$C$4))</f>
        <v>0</v>
      </c>
      <c r="E25" s="22" t="str">
        <f aca="false">IFERROR(INDEX(Listas!$B$5:$B$40,MATCH(ROWS($E$18:E25),Listas!$D$5:$D$40,0)),"")</f>
        <v/>
      </c>
      <c r="F25" s="23" t="str">
        <f aca="false">IF(E25="","",SUMIFS(Lançamentos!$G$5:$G$1004,Lançamentos!$B$5:$B$1004,E25,Lançamentos!$H$5:$H$1004,$C$4))</f>
        <v/>
      </c>
    </row>
    <row r="26" customFormat="false" ht="15" hidden="false" customHeight="false" outlineLevel="0" collapsed="false">
      <c r="B26" s="22" t="str">
        <f aca="false">IFERROR(INDEX(Listas!$B$5:$B$40,MATCH(ROWS($B$18:B26),Listas!$E$5:$E$40,0)),"")</f>
        <v>Freelancers e terceiros</v>
      </c>
      <c r="C26" s="23" t="n">
        <f aca="false">IF(B26="","",SUMIFS(Lançamentos!$G$5:$G$1004,Lançamentos!$B$5:$B$1004,B26,Lançamentos!$H$5:$H$1004,$C$4))</f>
        <v>0</v>
      </c>
      <c r="E26" s="24" t="s">
        <v>54</v>
      </c>
      <c r="F26" s="25" t="n">
        <f aca="false">SUM(F18:F25)</f>
        <v>600</v>
      </c>
    </row>
    <row r="27" customFormat="false" ht="15" hidden="false" customHeight="false" outlineLevel="0" collapsed="false">
      <c r="B27" s="22" t="str">
        <f aca="false">IFERROR(INDEX(Listas!$B$5:$B$40,MATCH(ROWS($B$18:B27),Listas!$E$5:$E$40,0)),"")</f>
        <v>Equipamentos</v>
      </c>
      <c r="C27" s="23" t="n">
        <f aca="false">IF(B27="","",SUMIFS(Lançamentos!$G$5:$G$1004,Lançamentos!$B$5:$B$1004,B27,Lançamentos!$H$5:$H$1004,$C$4))</f>
        <v>0</v>
      </c>
    </row>
    <row r="28" customFormat="false" ht="15" hidden="false" customHeight="false" outlineLevel="0" collapsed="false">
      <c r="B28" s="22" t="str">
        <f aca="false">IFERROR(INDEX(Listas!$B$5:$B$40,MATCH(ROWS($B$18:B28),Listas!$E$5:$E$40,0)),"")</f>
        <v>Internet e celular</v>
      </c>
      <c r="C28" s="23" t="n">
        <f aca="false">IF(B28="","",SUMIFS(Lançamentos!$G$5:$G$1004,Lançamentos!$B$5:$B$1004,B28,Lançamentos!$H$5:$H$1004,$C$4))</f>
        <v>0</v>
      </c>
    </row>
    <row r="29" customFormat="false" ht="15" hidden="false" customHeight="false" outlineLevel="0" collapsed="false">
      <c r="B29" s="22" t="str">
        <f aca="false">IFERROR(INDEX(Listas!$B$5:$B$40,MATCH(ROWS($B$18:B29),Listas!$E$5:$E$40,0)),"")</f>
        <v>Outras saídas</v>
      </c>
      <c r="C29" s="23" t="n">
        <f aca="false">IF(B29="","",SUMIFS(Lançamentos!$G$5:$G$1004,Lançamentos!$B$5:$B$1004,B29,Lançamentos!$H$5:$H$1004,$C$4))</f>
        <v>0</v>
      </c>
    </row>
    <row r="30" customFormat="false" ht="15" hidden="false" customHeight="false" outlineLevel="0" collapsed="false">
      <c r="B30" s="22" t="str">
        <f aca="false">IFERROR(INDEX(Listas!$B$5:$B$40,MATCH(ROWS($B$18:B30),Listas!$E$5:$E$40,0)),"")</f>
        <v/>
      </c>
      <c r="C30" s="23" t="str">
        <f aca="false">IF(B30="","",SUMIFS(Lançamentos!$G$5:$G$1004,Lançamentos!$B$5:$B$1004,B30,Lançamentos!$H$5:$H$1004,$C$4))</f>
        <v/>
      </c>
    </row>
    <row r="31" customFormat="false" ht="15" hidden="false" customHeight="false" outlineLevel="0" collapsed="false">
      <c r="B31" s="22" t="str">
        <f aca="false">IFERROR(INDEX(Listas!$B$5:$B$40,MATCH(ROWS($B$18:B31),Listas!$E$5:$E$40,0)),"")</f>
        <v/>
      </c>
      <c r="C31" s="23" t="str">
        <f aca="false">IF(B31="","",SUMIFS(Lançamentos!$G$5:$G$1004,Lançamentos!$B$5:$B$1004,B31,Lançamentos!$H$5:$H$1004,$C$4))</f>
        <v/>
      </c>
    </row>
    <row r="32" customFormat="false" ht="15" hidden="false" customHeight="false" outlineLevel="0" collapsed="false">
      <c r="B32" s="24" t="s">
        <v>54</v>
      </c>
      <c r="C32" s="25" t="n">
        <f aca="false">SUM(C18:C31)</f>
        <v>114</v>
      </c>
    </row>
  </sheetData>
  <mergeCells count="24">
    <mergeCell ref="B7:C7"/>
    <mergeCell ref="E7:F7"/>
    <mergeCell ref="H7:I7"/>
    <mergeCell ref="K7:L7"/>
    <mergeCell ref="B8:C8"/>
    <mergeCell ref="E8:F8"/>
    <mergeCell ref="H8:I8"/>
    <mergeCell ref="K8:L8"/>
    <mergeCell ref="B9:C9"/>
    <mergeCell ref="E9:F9"/>
    <mergeCell ref="H9:I9"/>
    <mergeCell ref="K9:L9"/>
    <mergeCell ref="B12:C12"/>
    <mergeCell ref="E12:F12"/>
    <mergeCell ref="H12:I12"/>
    <mergeCell ref="K12:L12"/>
    <mergeCell ref="B13:C13"/>
    <mergeCell ref="E13:F13"/>
    <mergeCell ref="H13:I13"/>
    <mergeCell ref="K13:L13"/>
    <mergeCell ref="B14:C14"/>
    <mergeCell ref="E14:F14"/>
    <mergeCell ref="H14:I14"/>
    <mergeCell ref="K14:L14"/>
  </mergeCells>
  <conditionalFormatting sqref="C18:C31">
    <cfRule type="expression" priority="2" aboveAverage="0" equalAverage="0" bottom="0" percent="0" rank="0" text="" dxfId="0">
      <formula>AND(ISNUMBER(C18),C18&gt;0)</formula>
    </cfRule>
  </conditionalFormatting>
  <conditionalFormatting sqref="F18:F25">
    <cfRule type="expression" priority="3" aboveAverage="0" equalAverage="0" bottom="0" percent="0" rank="0" text="" dxfId="1">
      <formula>AND(ISNUMBER(F18),F18&gt;0)</formula>
    </cfRule>
  </conditionalFormatting>
  <dataValidations count="1">
    <dataValidation allowBlank="false" errorStyle="stop" operator="between" showDropDown="false" showErrorMessage="false" showInputMessage="false" sqref="C4" type="list">
      <formula1>'Resumo mensal'!$B$7:$B$18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8C"/>
    <pageSetUpPr fitToPage="true"/>
  </sheetPr>
  <dimension ref="A1:H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28"/>
    <col collapsed="false" customWidth="true" hidden="false" outlineLevel="0" max="6" min="6" style="0" width="19"/>
    <col collapsed="false" customWidth="true" hidden="false" outlineLevel="0" max="7" min="7" style="0" width="15"/>
    <col collapsed="false" customWidth="true" hidden="false" outlineLevel="0" max="8" min="8" style="0" width="10"/>
  </cols>
  <sheetData>
    <row r="1" customFormat="false" ht="22.0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55</v>
      </c>
    </row>
    <row r="3" customFormat="false" ht="15" hidden="false" customHeight="false" outlineLevel="0" collapsed="false">
      <c r="A3" s="2" t="s">
        <v>56</v>
      </c>
    </row>
    <row r="4" customFormat="false" ht="30" hidden="false" customHeight="true" outlineLevel="0" collapsed="false">
      <c r="A4" s="21" t="s">
        <v>57</v>
      </c>
      <c r="B4" s="21" t="s">
        <v>58</v>
      </c>
      <c r="C4" s="21" t="s">
        <v>59</v>
      </c>
      <c r="D4" s="21" t="s">
        <v>60</v>
      </c>
      <c r="E4" s="21" t="s">
        <v>61</v>
      </c>
      <c r="F4" s="21" t="s">
        <v>62</v>
      </c>
      <c r="G4" s="21" t="s">
        <v>63</v>
      </c>
      <c r="H4" s="21" t="s">
        <v>64</v>
      </c>
    </row>
    <row r="5" customFormat="false" ht="15" hidden="false" customHeight="false" outlineLevel="0" collapsed="false">
      <c r="A5" s="26" t="n">
        <v>46329</v>
      </c>
      <c r="B5" s="4" t="s">
        <v>65</v>
      </c>
      <c r="C5" s="27" t="str">
        <f aca="false">IF(B5="","",IFERROR(INDEX(Listas!$C$5:$C$40,MATCH(B5,Listas!$B$5:$B$40,0)),"?"))</f>
        <v>Entrada</v>
      </c>
      <c r="D5" s="4" t="s">
        <v>66</v>
      </c>
      <c r="E5" s="4" t="s">
        <v>67</v>
      </c>
      <c r="F5" s="4" t="s">
        <v>68</v>
      </c>
      <c r="G5" s="28" t="n">
        <v>600</v>
      </c>
      <c r="H5" s="29" t="n">
        <f aca="false">IF(A5="","",DATE(YEAR(A5),MONTH(A5),1))</f>
        <v>46327</v>
      </c>
    </row>
    <row r="6" customFormat="false" ht="15" hidden="false" customHeight="false" outlineLevel="0" collapsed="false">
      <c r="A6" s="26" t="n">
        <v>46331</v>
      </c>
      <c r="B6" s="4" t="s">
        <v>69</v>
      </c>
      <c r="C6" s="27" t="str">
        <f aca="false">IF(B6="","",IFERROR(INDEX(Listas!$C$5:$C$40,MATCH(B6,Listas!$B$5:$B$40,0)),"?"))</f>
        <v>Saída</v>
      </c>
      <c r="D6" s="4" t="s">
        <v>70</v>
      </c>
      <c r="E6" s="4"/>
      <c r="F6" s="4" t="s">
        <v>71</v>
      </c>
      <c r="G6" s="28" t="n">
        <v>114</v>
      </c>
      <c r="H6" s="29" t="n">
        <f aca="false">IF(A6="","",DATE(YEAR(A6),MONTH(A6),1))</f>
        <v>46327</v>
      </c>
    </row>
    <row r="7" customFormat="false" ht="15" hidden="false" customHeight="false" outlineLevel="0" collapsed="false">
      <c r="A7" s="26"/>
      <c r="B7" s="4"/>
      <c r="C7" s="27" t="str">
        <f aca="false">IF(B7="","",IFERROR(INDEX(Listas!$C$5:$C$40,MATCH(B7,Listas!$B$5:$B$40,0)),"?"))</f>
        <v/>
      </c>
      <c r="D7" s="4"/>
      <c r="E7" s="4"/>
      <c r="F7" s="4"/>
      <c r="G7" s="28"/>
      <c r="H7" s="29" t="str">
        <f aca="false">IF(A7="","",DATE(YEAR(A7),MONTH(A7),1))</f>
        <v/>
      </c>
    </row>
    <row r="8" customFormat="false" ht="15" hidden="false" customHeight="false" outlineLevel="0" collapsed="false">
      <c r="A8" s="26"/>
      <c r="B8" s="4"/>
      <c r="C8" s="27" t="str">
        <f aca="false">IF(B8="","",IFERROR(INDEX(Listas!$C$5:$C$40,MATCH(B8,Listas!$B$5:$B$40,0)),"?"))</f>
        <v/>
      </c>
      <c r="D8" s="4"/>
      <c r="E8" s="4"/>
      <c r="F8" s="4"/>
      <c r="G8" s="28"/>
      <c r="H8" s="29" t="str">
        <f aca="false">IF(A8="","",DATE(YEAR(A8),MONTH(A8),1))</f>
        <v/>
      </c>
    </row>
    <row r="9" customFormat="false" ht="15" hidden="false" customHeight="false" outlineLevel="0" collapsed="false">
      <c r="A9" s="26"/>
      <c r="B9" s="4"/>
      <c r="C9" s="27" t="str">
        <f aca="false">IF(B9="","",IFERROR(INDEX(Listas!$C$5:$C$40,MATCH(B9,Listas!$B$5:$B$40,0)),"?"))</f>
        <v/>
      </c>
      <c r="D9" s="4"/>
      <c r="E9" s="4"/>
      <c r="F9" s="4"/>
      <c r="G9" s="28"/>
      <c r="H9" s="29" t="str">
        <f aca="false">IF(A9="","",DATE(YEAR(A9),MONTH(A9),1))</f>
        <v/>
      </c>
    </row>
    <row r="10" customFormat="false" ht="15" hidden="false" customHeight="false" outlineLevel="0" collapsed="false">
      <c r="A10" s="26"/>
      <c r="B10" s="4"/>
      <c r="C10" s="27" t="str">
        <f aca="false">IF(B10="","",IFERROR(INDEX(Listas!$C$5:$C$40,MATCH(B10,Listas!$B$5:$B$40,0)),"?"))</f>
        <v/>
      </c>
      <c r="D10" s="4"/>
      <c r="E10" s="4"/>
      <c r="F10" s="4"/>
      <c r="G10" s="28"/>
      <c r="H10" s="29" t="str">
        <f aca="false">IF(A10="","",DATE(YEAR(A10),MONTH(A10),1))</f>
        <v/>
      </c>
    </row>
    <row r="11" customFormat="false" ht="15" hidden="false" customHeight="false" outlineLevel="0" collapsed="false">
      <c r="A11" s="26"/>
      <c r="B11" s="4"/>
      <c r="C11" s="27" t="str">
        <f aca="false">IF(B11="","",IFERROR(INDEX(Listas!$C$5:$C$40,MATCH(B11,Listas!$B$5:$B$40,0)),"?"))</f>
        <v/>
      </c>
      <c r="D11" s="4"/>
      <c r="E11" s="4"/>
      <c r="F11" s="4"/>
      <c r="G11" s="28"/>
      <c r="H11" s="29" t="str">
        <f aca="false">IF(A11="","",DATE(YEAR(A11),MONTH(A11),1))</f>
        <v/>
      </c>
    </row>
    <row r="12" customFormat="false" ht="15" hidden="false" customHeight="false" outlineLevel="0" collapsed="false">
      <c r="A12" s="26"/>
      <c r="B12" s="4"/>
      <c r="C12" s="27" t="str">
        <f aca="false">IF(B12="","",IFERROR(INDEX(Listas!$C$5:$C$40,MATCH(B12,Listas!$B$5:$B$40,0)),"?"))</f>
        <v/>
      </c>
      <c r="D12" s="4"/>
      <c r="E12" s="4"/>
      <c r="F12" s="4"/>
      <c r="G12" s="28"/>
      <c r="H12" s="29" t="str">
        <f aca="false">IF(A12="","",DATE(YEAR(A12),MONTH(A12),1))</f>
        <v/>
      </c>
    </row>
    <row r="13" customFormat="false" ht="15" hidden="false" customHeight="false" outlineLevel="0" collapsed="false">
      <c r="A13" s="26"/>
      <c r="B13" s="4"/>
      <c r="C13" s="27" t="str">
        <f aca="false">IF(B13="","",IFERROR(INDEX(Listas!$C$5:$C$40,MATCH(B13,Listas!$B$5:$B$40,0)),"?"))</f>
        <v/>
      </c>
      <c r="D13" s="4"/>
      <c r="E13" s="4"/>
      <c r="F13" s="4"/>
      <c r="G13" s="28"/>
      <c r="H13" s="29" t="str">
        <f aca="false">IF(A13="","",DATE(YEAR(A13),MONTH(A13),1))</f>
        <v/>
      </c>
    </row>
    <row r="14" customFormat="false" ht="15" hidden="false" customHeight="false" outlineLevel="0" collapsed="false">
      <c r="A14" s="26"/>
      <c r="B14" s="4"/>
      <c r="C14" s="27" t="str">
        <f aca="false">IF(B14="","",IFERROR(INDEX(Listas!$C$5:$C$40,MATCH(B14,Listas!$B$5:$B$40,0)),"?"))</f>
        <v/>
      </c>
      <c r="D14" s="4"/>
      <c r="E14" s="4"/>
      <c r="F14" s="4"/>
      <c r="G14" s="28"/>
      <c r="H14" s="29" t="str">
        <f aca="false">IF(A14="","",DATE(YEAR(A14),MONTH(A14),1))</f>
        <v/>
      </c>
    </row>
    <row r="15" customFormat="false" ht="15" hidden="false" customHeight="false" outlineLevel="0" collapsed="false">
      <c r="A15" s="26"/>
      <c r="B15" s="4"/>
      <c r="C15" s="27" t="str">
        <f aca="false">IF(B15="","",IFERROR(INDEX(Listas!$C$5:$C$40,MATCH(B15,Listas!$B$5:$B$40,0)),"?"))</f>
        <v/>
      </c>
      <c r="D15" s="4"/>
      <c r="E15" s="4"/>
      <c r="F15" s="4"/>
      <c r="G15" s="28"/>
      <c r="H15" s="29" t="str">
        <f aca="false">IF(A15="","",DATE(YEAR(A15),MONTH(A15),1))</f>
        <v/>
      </c>
    </row>
    <row r="16" customFormat="false" ht="15" hidden="false" customHeight="false" outlineLevel="0" collapsed="false">
      <c r="A16" s="26"/>
      <c r="B16" s="4"/>
      <c r="C16" s="27" t="str">
        <f aca="false">IF(B16="","",IFERROR(INDEX(Listas!$C$5:$C$40,MATCH(B16,Listas!$B$5:$B$40,0)),"?"))</f>
        <v/>
      </c>
      <c r="D16" s="4"/>
      <c r="E16" s="4"/>
      <c r="F16" s="4"/>
      <c r="G16" s="28"/>
      <c r="H16" s="29" t="str">
        <f aca="false">IF(A16="","",DATE(YEAR(A16),MONTH(A16),1))</f>
        <v/>
      </c>
    </row>
    <row r="17" customFormat="false" ht="15" hidden="false" customHeight="false" outlineLevel="0" collapsed="false">
      <c r="A17" s="26"/>
      <c r="B17" s="4"/>
      <c r="C17" s="27" t="str">
        <f aca="false">IF(B17="","",IFERROR(INDEX(Listas!$C$5:$C$40,MATCH(B17,Listas!$B$5:$B$40,0)),"?"))</f>
        <v/>
      </c>
      <c r="D17" s="4"/>
      <c r="E17" s="4"/>
      <c r="F17" s="4"/>
      <c r="G17" s="28"/>
      <c r="H17" s="29" t="str">
        <f aca="false">IF(A17="","",DATE(YEAR(A17),MONTH(A17),1))</f>
        <v/>
      </c>
    </row>
    <row r="18" customFormat="false" ht="15" hidden="false" customHeight="false" outlineLevel="0" collapsed="false">
      <c r="A18" s="26"/>
      <c r="B18" s="4"/>
      <c r="C18" s="27" t="str">
        <f aca="false">IF(B18="","",IFERROR(INDEX(Listas!$C$5:$C$40,MATCH(B18,Listas!$B$5:$B$40,0)),"?"))</f>
        <v/>
      </c>
      <c r="D18" s="4"/>
      <c r="E18" s="4"/>
      <c r="F18" s="4"/>
      <c r="G18" s="28"/>
      <c r="H18" s="29" t="str">
        <f aca="false">IF(A18="","",DATE(YEAR(A18),MONTH(A18),1))</f>
        <v/>
      </c>
    </row>
    <row r="19" customFormat="false" ht="15" hidden="false" customHeight="false" outlineLevel="0" collapsed="false">
      <c r="A19" s="26"/>
      <c r="B19" s="4"/>
      <c r="C19" s="27" t="str">
        <f aca="false">IF(B19="","",IFERROR(INDEX(Listas!$C$5:$C$40,MATCH(B19,Listas!$B$5:$B$40,0)),"?"))</f>
        <v/>
      </c>
      <c r="D19" s="4"/>
      <c r="E19" s="4"/>
      <c r="F19" s="4"/>
      <c r="G19" s="28"/>
      <c r="H19" s="29" t="str">
        <f aca="false">IF(A19="","",DATE(YEAR(A19),MONTH(A19),1))</f>
        <v/>
      </c>
    </row>
    <row r="20" customFormat="false" ht="15" hidden="false" customHeight="false" outlineLevel="0" collapsed="false">
      <c r="A20" s="26"/>
      <c r="B20" s="4"/>
      <c r="C20" s="27" t="str">
        <f aca="false">IF(B20="","",IFERROR(INDEX(Listas!$C$5:$C$40,MATCH(B20,Listas!$B$5:$B$40,0)),"?"))</f>
        <v/>
      </c>
      <c r="D20" s="4"/>
      <c r="E20" s="4"/>
      <c r="F20" s="4"/>
      <c r="G20" s="28"/>
      <c r="H20" s="29" t="str">
        <f aca="false">IF(A20="","",DATE(YEAR(A20),MONTH(A20),1))</f>
        <v/>
      </c>
    </row>
    <row r="21" customFormat="false" ht="15" hidden="false" customHeight="false" outlineLevel="0" collapsed="false">
      <c r="A21" s="26"/>
      <c r="B21" s="4"/>
      <c r="C21" s="27" t="str">
        <f aca="false">IF(B21="","",IFERROR(INDEX(Listas!$C$5:$C$40,MATCH(B21,Listas!$B$5:$B$40,0)),"?"))</f>
        <v/>
      </c>
      <c r="D21" s="4"/>
      <c r="E21" s="4"/>
      <c r="F21" s="4"/>
      <c r="G21" s="28"/>
      <c r="H21" s="29" t="str">
        <f aca="false">IF(A21="","",DATE(YEAR(A21),MONTH(A21),1))</f>
        <v/>
      </c>
    </row>
    <row r="22" customFormat="false" ht="15" hidden="false" customHeight="false" outlineLevel="0" collapsed="false">
      <c r="A22" s="26"/>
      <c r="B22" s="4"/>
      <c r="C22" s="27" t="str">
        <f aca="false">IF(B22="","",IFERROR(INDEX(Listas!$C$5:$C$40,MATCH(B22,Listas!$B$5:$B$40,0)),"?"))</f>
        <v/>
      </c>
      <c r="D22" s="4"/>
      <c r="E22" s="4"/>
      <c r="F22" s="4"/>
      <c r="G22" s="28"/>
      <c r="H22" s="29" t="str">
        <f aca="false">IF(A22="","",DATE(YEAR(A22),MONTH(A22),1))</f>
        <v/>
      </c>
    </row>
    <row r="23" customFormat="false" ht="15" hidden="false" customHeight="false" outlineLevel="0" collapsed="false">
      <c r="A23" s="26"/>
      <c r="B23" s="4"/>
      <c r="C23" s="27" t="str">
        <f aca="false">IF(B23="","",IFERROR(INDEX(Listas!$C$5:$C$40,MATCH(B23,Listas!$B$5:$B$40,0)),"?"))</f>
        <v/>
      </c>
      <c r="D23" s="4"/>
      <c r="E23" s="4"/>
      <c r="F23" s="4"/>
      <c r="G23" s="28"/>
      <c r="H23" s="29" t="str">
        <f aca="false">IF(A23="","",DATE(YEAR(A23),MONTH(A23),1))</f>
        <v/>
      </c>
    </row>
    <row r="24" customFormat="false" ht="15" hidden="false" customHeight="false" outlineLevel="0" collapsed="false">
      <c r="A24" s="26"/>
      <c r="B24" s="4"/>
      <c r="C24" s="27" t="str">
        <f aca="false">IF(B24="","",IFERROR(INDEX(Listas!$C$5:$C$40,MATCH(B24,Listas!$B$5:$B$40,0)),"?"))</f>
        <v/>
      </c>
      <c r="D24" s="4"/>
      <c r="E24" s="4"/>
      <c r="F24" s="4"/>
      <c r="G24" s="28"/>
      <c r="H24" s="29" t="str">
        <f aca="false">IF(A24="","",DATE(YEAR(A24),MONTH(A24),1))</f>
        <v/>
      </c>
    </row>
    <row r="25" customFormat="false" ht="15" hidden="false" customHeight="false" outlineLevel="0" collapsed="false">
      <c r="A25" s="26"/>
      <c r="B25" s="4"/>
      <c r="C25" s="27" t="str">
        <f aca="false">IF(B25="","",IFERROR(INDEX(Listas!$C$5:$C$40,MATCH(B25,Listas!$B$5:$B$40,0)),"?"))</f>
        <v/>
      </c>
      <c r="D25" s="4"/>
      <c r="E25" s="4"/>
      <c r="F25" s="4"/>
      <c r="G25" s="28"/>
      <c r="H25" s="29" t="str">
        <f aca="false">IF(A25="","",DATE(YEAR(A25),MONTH(A25),1))</f>
        <v/>
      </c>
    </row>
    <row r="26" customFormat="false" ht="15" hidden="false" customHeight="false" outlineLevel="0" collapsed="false">
      <c r="A26" s="26"/>
      <c r="B26" s="4"/>
      <c r="C26" s="27" t="str">
        <f aca="false">IF(B26="","",IFERROR(INDEX(Listas!$C$5:$C$40,MATCH(B26,Listas!$B$5:$B$40,0)),"?"))</f>
        <v/>
      </c>
      <c r="D26" s="4"/>
      <c r="E26" s="4"/>
      <c r="F26" s="4"/>
      <c r="G26" s="28"/>
      <c r="H26" s="29" t="str">
        <f aca="false">IF(A26="","",DATE(YEAR(A26),MONTH(A26),1))</f>
        <v/>
      </c>
    </row>
    <row r="27" customFormat="false" ht="15" hidden="false" customHeight="false" outlineLevel="0" collapsed="false">
      <c r="A27" s="26"/>
      <c r="B27" s="4"/>
      <c r="C27" s="27" t="str">
        <f aca="false">IF(B27="","",IFERROR(INDEX(Listas!$C$5:$C$40,MATCH(B27,Listas!$B$5:$B$40,0)),"?"))</f>
        <v/>
      </c>
      <c r="D27" s="4"/>
      <c r="E27" s="4"/>
      <c r="F27" s="4"/>
      <c r="G27" s="28"/>
      <c r="H27" s="29" t="str">
        <f aca="false">IF(A27="","",DATE(YEAR(A27),MONTH(A27),1))</f>
        <v/>
      </c>
    </row>
    <row r="28" customFormat="false" ht="15" hidden="false" customHeight="false" outlineLevel="0" collapsed="false">
      <c r="A28" s="26"/>
      <c r="B28" s="4"/>
      <c r="C28" s="27" t="str">
        <f aca="false">IF(B28="","",IFERROR(INDEX(Listas!$C$5:$C$40,MATCH(B28,Listas!$B$5:$B$40,0)),"?"))</f>
        <v/>
      </c>
      <c r="D28" s="4"/>
      <c r="E28" s="4"/>
      <c r="F28" s="4"/>
      <c r="G28" s="28"/>
      <c r="H28" s="29" t="str">
        <f aca="false">IF(A28="","",DATE(YEAR(A28),MONTH(A28),1))</f>
        <v/>
      </c>
    </row>
    <row r="29" customFormat="false" ht="15" hidden="false" customHeight="false" outlineLevel="0" collapsed="false">
      <c r="A29" s="26"/>
      <c r="B29" s="4"/>
      <c r="C29" s="27" t="str">
        <f aca="false">IF(B29="","",IFERROR(INDEX(Listas!$C$5:$C$40,MATCH(B29,Listas!$B$5:$B$40,0)),"?"))</f>
        <v/>
      </c>
      <c r="D29" s="4"/>
      <c r="E29" s="4"/>
      <c r="F29" s="4"/>
      <c r="G29" s="28"/>
      <c r="H29" s="29" t="str">
        <f aca="false">IF(A29="","",DATE(YEAR(A29),MONTH(A29),1))</f>
        <v/>
      </c>
    </row>
    <row r="30" customFormat="false" ht="15" hidden="false" customHeight="false" outlineLevel="0" collapsed="false">
      <c r="A30" s="26"/>
      <c r="B30" s="4"/>
      <c r="C30" s="27" t="str">
        <f aca="false">IF(B30="","",IFERROR(INDEX(Listas!$C$5:$C$40,MATCH(B30,Listas!$B$5:$B$40,0)),"?"))</f>
        <v/>
      </c>
      <c r="D30" s="4"/>
      <c r="E30" s="4"/>
      <c r="F30" s="4"/>
      <c r="G30" s="28"/>
      <c r="H30" s="29" t="str">
        <f aca="false">IF(A30="","",DATE(YEAR(A30),MONTH(A30),1))</f>
        <v/>
      </c>
    </row>
    <row r="31" customFormat="false" ht="15" hidden="false" customHeight="false" outlineLevel="0" collapsed="false">
      <c r="A31" s="26"/>
      <c r="B31" s="4"/>
      <c r="C31" s="27" t="str">
        <f aca="false">IF(B31="","",IFERROR(INDEX(Listas!$C$5:$C$40,MATCH(B31,Listas!$B$5:$B$40,0)),"?"))</f>
        <v/>
      </c>
      <c r="D31" s="4"/>
      <c r="E31" s="4"/>
      <c r="F31" s="4"/>
      <c r="G31" s="28"/>
      <c r="H31" s="29" t="str">
        <f aca="false">IF(A31="","",DATE(YEAR(A31),MONTH(A31),1))</f>
        <v/>
      </c>
    </row>
    <row r="32" customFormat="false" ht="15" hidden="false" customHeight="false" outlineLevel="0" collapsed="false">
      <c r="A32" s="26"/>
      <c r="B32" s="4"/>
      <c r="C32" s="27" t="str">
        <f aca="false">IF(B32="","",IFERROR(INDEX(Listas!$C$5:$C$40,MATCH(B32,Listas!$B$5:$B$40,0)),"?"))</f>
        <v/>
      </c>
      <c r="D32" s="4"/>
      <c r="E32" s="4"/>
      <c r="F32" s="4"/>
      <c r="G32" s="28"/>
      <c r="H32" s="29" t="str">
        <f aca="false">IF(A32="","",DATE(YEAR(A32),MONTH(A32),1))</f>
        <v/>
      </c>
    </row>
    <row r="33" customFormat="false" ht="15" hidden="false" customHeight="false" outlineLevel="0" collapsed="false">
      <c r="A33" s="26"/>
      <c r="B33" s="4"/>
      <c r="C33" s="27" t="str">
        <f aca="false">IF(B33="","",IFERROR(INDEX(Listas!$C$5:$C$40,MATCH(B33,Listas!$B$5:$B$40,0)),"?"))</f>
        <v/>
      </c>
      <c r="D33" s="4"/>
      <c r="E33" s="4"/>
      <c r="F33" s="4"/>
      <c r="G33" s="28"/>
      <c r="H33" s="29" t="str">
        <f aca="false">IF(A33="","",DATE(YEAR(A33),MONTH(A33),1))</f>
        <v/>
      </c>
    </row>
    <row r="34" customFormat="false" ht="15" hidden="false" customHeight="false" outlineLevel="0" collapsed="false">
      <c r="A34" s="26"/>
      <c r="B34" s="4"/>
      <c r="C34" s="27" t="str">
        <f aca="false">IF(B34="","",IFERROR(INDEX(Listas!$C$5:$C$40,MATCH(B34,Listas!$B$5:$B$40,0)),"?"))</f>
        <v/>
      </c>
      <c r="D34" s="4"/>
      <c r="E34" s="4"/>
      <c r="F34" s="4"/>
      <c r="G34" s="28"/>
      <c r="H34" s="29" t="str">
        <f aca="false">IF(A34="","",DATE(YEAR(A34),MONTH(A34),1))</f>
        <v/>
      </c>
    </row>
    <row r="35" customFormat="false" ht="15" hidden="false" customHeight="false" outlineLevel="0" collapsed="false">
      <c r="A35" s="26"/>
      <c r="B35" s="4"/>
      <c r="C35" s="27" t="str">
        <f aca="false">IF(B35="","",IFERROR(INDEX(Listas!$C$5:$C$40,MATCH(B35,Listas!$B$5:$B$40,0)),"?"))</f>
        <v/>
      </c>
      <c r="D35" s="4"/>
      <c r="E35" s="4"/>
      <c r="F35" s="4"/>
      <c r="G35" s="28"/>
      <c r="H35" s="29" t="str">
        <f aca="false">IF(A35="","",DATE(YEAR(A35),MONTH(A35),1))</f>
        <v/>
      </c>
    </row>
    <row r="36" customFormat="false" ht="15" hidden="false" customHeight="false" outlineLevel="0" collapsed="false">
      <c r="A36" s="26"/>
      <c r="B36" s="4"/>
      <c r="C36" s="27" t="str">
        <f aca="false">IF(B36="","",IFERROR(INDEX(Listas!$C$5:$C$40,MATCH(B36,Listas!$B$5:$B$40,0)),"?"))</f>
        <v/>
      </c>
      <c r="D36" s="4"/>
      <c r="E36" s="4"/>
      <c r="F36" s="4"/>
      <c r="G36" s="28"/>
      <c r="H36" s="29" t="str">
        <f aca="false">IF(A36="","",DATE(YEAR(A36),MONTH(A36),1))</f>
        <v/>
      </c>
    </row>
    <row r="37" customFormat="false" ht="15" hidden="false" customHeight="false" outlineLevel="0" collapsed="false">
      <c r="A37" s="26"/>
      <c r="B37" s="4"/>
      <c r="C37" s="27" t="str">
        <f aca="false">IF(B37="","",IFERROR(INDEX(Listas!$C$5:$C$40,MATCH(B37,Listas!$B$5:$B$40,0)),"?"))</f>
        <v/>
      </c>
      <c r="D37" s="4"/>
      <c r="E37" s="4"/>
      <c r="F37" s="4"/>
      <c r="G37" s="28"/>
      <c r="H37" s="29" t="str">
        <f aca="false">IF(A37="","",DATE(YEAR(A37),MONTH(A37),1))</f>
        <v/>
      </c>
    </row>
    <row r="38" customFormat="false" ht="15" hidden="false" customHeight="false" outlineLevel="0" collapsed="false">
      <c r="A38" s="26"/>
      <c r="B38" s="4"/>
      <c r="C38" s="27" t="str">
        <f aca="false">IF(B38="","",IFERROR(INDEX(Listas!$C$5:$C$40,MATCH(B38,Listas!$B$5:$B$40,0)),"?"))</f>
        <v/>
      </c>
      <c r="D38" s="4"/>
      <c r="E38" s="4"/>
      <c r="F38" s="4"/>
      <c r="G38" s="28"/>
      <c r="H38" s="29" t="str">
        <f aca="false">IF(A38="","",DATE(YEAR(A38),MONTH(A38),1))</f>
        <v/>
      </c>
    </row>
    <row r="39" customFormat="false" ht="15" hidden="false" customHeight="false" outlineLevel="0" collapsed="false">
      <c r="A39" s="26"/>
      <c r="B39" s="4"/>
      <c r="C39" s="27" t="str">
        <f aca="false">IF(B39="","",IFERROR(INDEX(Listas!$C$5:$C$40,MATCH(B39,Listas!$B$5:$B$40,0)),"?"))</f>
        <v/>
      </c>
      <c r="D39" s="4"/>
      <c r="E39" s="4"/>
      <c r="F39" s="4"/>
      <c r="G39" s="28"/>
      <c r="H39" s="29" t="str">
        <f aca="false">IF(A39="","",DATE(YEAR(A39),MONTH(A39),1))</f>
        <v/>
      </c>
    </row>
    <row r="40" customFormat="false" ht="15" hidden="false" customHeight="false" outlineLevel="0" collapsed="false">
      <c r="A40" s="26"/>
      <c r="B40" s="4"/>
      <c r="C40" s="27" t="str">
        <f aca="false">IF(B40="","",IFERROR(INDEX(Listas!$C$5:$C$40,MATCH(B40,Listas!$B$5:$B$40,0)),"?"))</f>
        <v/>
      </c>
      <c r="D40" s="4"/>
      <c r="E40" s="4"/>
      <c r="F40" s="4"/>
      <c r="G40" s="28"/>
      <c r="H40" s="29" t="str">
        <f aca="false">IF(A40="","",DATE(YEAR(A40),MONTH(A40),1))</f>
        <v/>
      </c>
    </row>
    <row r="41" customFormat="false" ht="15" hidden="false" customHeight="false" outlineLevel="0" collapsed="false">
      <c r="A41" s="26"/>
      <c r="B41" s="4"/>
      <c r="C41" s="27" t="str">
        <f aca="false">IF(B41="","",IFERROR(INDEX(Listas!$C$5:$C$40,MATCH(B41,Listas!$B$5:$B$40,0)),"?"))</f>
        <v/>
      </c>
      <c r="D41" s="4"/>
      <c r="E41" s="4"/>
      <c r="F41" s="4"/>
      <c r="G41" s="28"/>
      <c r="H41" s="29" t="str">
        <f aca="false">IF(A41="","",DATE(YEAR(A41),MONTH(A41),1))</f>
        <v/>
      </c>
    </row>
    <row r="42" customFormat="false" ht="15" hidden="false" customHeight="false" outlineLevel="0" collapsed="false">
      <c r="A42" s="26"/>
      <c r="B42" s="4"/>
      <c r="C42" s="27" t="str">
        <f aca="false">IF(B42="","",IFERROR(INDEX(Listas!$C$5:$C$40,MATCH(B42,Listas!$B$5:$B$40,0)),"?"))</f>
        <v/>
      </c>
      <c r="D42" s="4"/>
      <c r="E42" s="4"/>
      <c r="F42" s="4"/>
      <c r="G42" s="28"/>
      <c r="H42" s="29" t="str">
        <f aca="false">IF(A42="","",DATE(YEAR(A42),MONTH(A42),1))</f>
        <v/>
      </c>
    </row>
    <row r="43" customFormat="false" ht="15" hidden="false" customHeight="false" outlineLevel="0" collapsed="false">
      <c r="A43" s="26"/>
      <c r="B43" s="4"/>
      <c r="C43" s="27" t="str">
        <f aca="false">IF(B43="","",IFERROR(INDEX(Listas!$C$5:$C$40,MATCH(B43,Listas!$B$5:$B$40,0)),"?"))</f>
        <v/>
      </c>
      <c r="D43" s="4"/>
      <c r="E43" s="4"/>
      <c r="F43" s="4"/>
      <c r="G43" s="28"/>
      <c r="H43" s="29" t="str">
        <f aca="false">IF(A43="","",DATE(YEAR(A43),MONTH(A43),1))</f>
        <v/>
      </c>
    </row>
    <row r="44" customFormat="false" ht="15" hidden="false" customHeight="false" outlineLevel="0" collapsed="false">
      <c r="A44" s="26"/>
      <c r="B44" s="4"/>
      <c r="C44" s="27" t="str">
        <f aca="false">IF(B44="","",IFERROR(INDEX(Listas!$C$5:$C$40,MATCH(B44,Listas!$B$5:$B$40,0)),"?"))</f>
        <v/>
      </c>
      <c r="D44" s="4"/>
      <c r="E44" s="4"/>
      <c r="F44" s="4"/>
      <c r="G44" s="28"/>
      <c r="H44" s="29" t="str">
        <f aca="false">IF(A44="","",DATE(YEAR(A44),MONTH(A44),1))</f>
        <v/>
      </c>
    </row>
    <row r="45" customFormat="false" ht="15" hidden="false" customHeight="false" outlineLevel="0" collapsed="false">
      <c r="A45" s="26"/>
      <c r="B45" s="4"/>
      <c r="C45" s="27" t="str">
        <f aca="false">IF(B45="","",IFERROR(INDEX(Listas!$C$5:$C$40,MATCH(B45,Listas!$B$5:$B$40,0)),"?"))</f>
        <v/>
      </c>
      <c r="D45" s="4"/>
      <c r="E45" s="4"/>
      <c r="F45" s="4"/>
      <c r="G45" s="28"/>
      <c r="H45" s="29" t="str">
        <f aca="false">IF(A45="","",DATE(YEAR(A45),MONTH(A45),1))</f>
        <v/>
      </c>
    </row>
    <row r="46" customFormat="false" ht="15" hidden="false" customHeight="false" outlineLevel="0" collapsed="false">
      <c r="A46" s="26"/>
      <c r="B46" s="4"/>
      <c r="C46" s="27" t="str">
        <f aca="false">IF(B46="","",IFERROR(INDEX(Listas!$C$5:$C$40,MATCH(B46,Listas!$B$5:$B$40,0)),"?"))</f>
        <v/>
      </c>
      <c r="D46" s="4"/>
      <c r="E46" s="4"/>
      <c r="F46" s="4"/>
      <c r="G46" s="28"/>
      <c r="H46" s="29" t="str">
        <f aca="false">IF(A46="","",DATE(YEAR(A46),MONTH(A46),1))</f>
        <v/>
      </c>
    </row>
    <row r="47" customFormat="false" ht="15" hidden="false" customHeight="false" outlineLevel="0" collapsed="false">
      <c r="A47" s="26"/>
      <c r="B47" s="4"/>
      <c r="C47" s="27" t="str">
        <f aca="false">IF(B47="","",IFERROR(INDEX(Listas!$C$5:$C$40,MATCH(B47,Listas!$B$5:$B$40,0)),"?"))</f>
        <v/>
      </c>
      <c r="D47" s="4"/>
      <c r="E47" s="4"/>
      <c r="F47" s="4"/>
      <c r="G47" s="28"/>
      <c r="H47" s="29" t="str">
        <f aca="false">IF(A47="","",DATE(YEAR(A47),MONTH(A47),1))</f>
        <v/>
      </c>
    </row>
    <row r="48" customFormat="false" ht="15" hidden="false" customHeight="false" outlineLevel="0" collapsed="false">
      <c r="A48" s="26"/>
      <c r="B48" s="4"/>
      <c r="C48" s="27" t="str">
        <f aca="false">IF(B48="","",IFERROR(INDEX(Listas!$C$5:$C$40,MATCH(B48,Listas!$B$5:$B$40,0)),"?"))</f>
        <v/>
      </c>
      <c r="D48" s="4"/>
      <c r="E48" s="4"/>
      <c r="F48" s="4"/>
      <c r="G48" s="28"/>
      <c r="H48" s="29" t="str">
        <f aca="false">IF(A48="","",DATE(YEAR(A48),MONTH(A48),1))</f>
        <v/>
      </c>
    </row>
    <row r="49" customFormat="false" ht="15" hidden="false" customHeight="false" outlineLevel="0" collapsed="false">
      <c r="A49" s="26"/>
      <c r="B49" s="4"/>
      <c r="C49" s="27" t="str">
        <f aca="false">IF(B49="","",IFERROR(INDEX(Listas!$C$5:$C$40,MATCH(B49,Listas!$B$5:$B$40,0)),"?"))</f>
        <v/>
      </c>
      <c r="D49" s="4"/>
      <c r="E49" s="4"/>
      <c r="F49" s="4"/>
      <c r="G49" s="28"/>
      <c r="H49" s="29" t="str">
        <f aca="false">IF(A49="","",DATE(YEAR(A49),MONTH(A49),1))</f>
        <v/>
      </c>
    </row>
    <row r="50" customFormat="false" ht="15" hidden="false" customHeight="false" outlineLevel="0" collapsed="false">
      <c r="A50" s="26"/>
      <c r="B50" s="4"/>
      <c r="C50" s="27" t="str">
        <f aca="false">IF(B50="","",IFERROR(INDEX(Listas!$C$5:$C$40,MATCH(B50,Listas!$B$5:$B$40,0)),"?"))</f>
        <v/>
      </c>
      <c r="D50" s="4"/>
      <c r="E50" s="4"/>
      <c r="F50" s="4"/>
      <c r="G50" s="28"/>
      <c r="H50" s="29" t="str">
        <f aca="false">IF(A50="","",DATE(YEAR(A50),MONTH(A50),1))</f>
        <v/>
      </c>
    </row>
    <row r="51" customFormat="false" ht="15" hidden="false" customHeight="false" outlineLevel="0" collapsed="false">
      <c r="A51" s="26"/>
      <c r="B51" s="4"/>
      <c r="C51" s="27" t="str">
        <f aca="false">IF(B51="","",IFERROR(INDEX(Listas!$C$5:$C$40,MATCH(B51,Listas!$B$5:$B$40,0)),"?"))</f>
        <v/>
      </c>
      <c r="D51" s="4"/>
      <c r="E51" s="4"/>
      <c r="F51" s="4"/>
      <c r="G51" s="28"/>
      <c r="H51" s="29" t="str">
        <f aca="false">IF(A51="","",DATE(YEAR(A51),MONTH(A51),1))</f>
        <v/>
      </c>
    </row>
    <row r="52" customFormat="false" ht="15" hidden="false" customHeight="false" outlineLevel="0" collapsed="false">
      <c r="A52" s="26"/>
      <c r="B52" s="4"/>
      <c r="C52" s="27" t="str">
        <f aca="false">IF(B52="","",IFERROR(INDEX(Listas!$C$5:$C$40,MATCH(B52,Listas!$B$5:$B$40,0)),"?"))</f>
        <v/>
      </c>
      <c r="D52" s="4"/>
      <c r="E52" s="4"/>
      <c r="F52" s="4"/>
      <c r="G52" s="28"/>
      <c r="H52" s="29" t="str">
        <f aca="false">IF(A52="","",DATE(YEAR(A52),MONTH(A52),1))</f>
        <v/>
      </c>
    </row>
    <row r="53" customFormat="false" ht="15" hidden="false" customHeight="false" outlineLevel="0" collapsed="false">
      <c r="A53" s="26"/>
      <c r="B53" s="4"/>
      <c r="C53" s="27" t="str">
        <f aca="false">IF(B53="","",IFERROR(INDEX(Listas!$C$5:$C$40,MATCH(B53,Listas!$B$5:$B$40,0)),"?"))</f>
        <v/>
      </c>
      <c r="D53" s="4"/>
      <c r="E53" s="4"/>
      <c r="F53" s="4"/>
      <c r="G53" s="28"/>
      <c r="H53" s="29" t="str">
        <f aca="false">IF(A53="","",DATE(YEAR(A53),MONTH(A53),1))</f>
        <v/>
      </c>
    </row>
    <row r="54" customFormat="false" ht="15" hidden="false" customHeight="false" outlineLevel="0" collapsed="false">
      <c r="A54" s="26"/>
      <c r="B54" s="4"/>
      <c r="C54" s="27" t="str">
        <f aca="false">IF(B54="","",IFERROR(INDEX(Listas!$C$5:$C$40,MATCH(B54,Listas!$B$5:$B$40,0)),"?"))</f>
        <v/>
      </c>
      <c r="D54" s="4"/>
      <c r="E54" s="4"/>
      <c r="F54" s="4"/>
      <c r="G54" s="28"/>
      <c r="H54" s="29" t="str">
        <f aca="false">IF(A54="","",DATE(YEAR(A54),MONTH(A54),1))</f>
        <v/>
      </c>
    </row>
    <row r="55" customFormat="false" ht="15" hidden="false" customHeight="false" outlineLevel="0" collapsed="false">
      <c r="A55" s="26"/>
      <c r="B55" s="4"/>
      <c r="C55" s="27" t="str">
        <f aca="false">IF(B55="","",IFERROR(INDEX(Listas!$C$5:$C$40,MATCH(B55,Listas!$B$5:$B$40,0)),"?"))</f>
        <v/>
      </c>
      <c r="D55" s="4"/>
      <c r="E55" s="4"/>
      <c r="F55" s="4"/>
      <c r="G55" s="28"/>
      <c r="H55" s="29" t="str">
        <f aca="false">IF(A55="","",DATE(YEAR(A55),MONTH(A55),1))</f>
        <v/>
      </c>
    </row>
    <row r="56" customFormat="false" ht="15" hidden="false" customHeight="false" outlineLevel="0" collapsed="false">
      <c r="A56" s="26"/>
      <c r="B56" s="4"/>
      <c r="C56" s="27" t="str">
        <f aca="false">IF(B56="","",IFERROR(INDEX(Listas!$C$5:$C$40,MATCH(B56,Listas!$B$5:$B$40,0)),"?"))</f>
        <v/>
      </c>
      <c r="D56" s="4"/>
      <c r="E56" s="4"/>
      <c r="F56" s="4"/>
      <c r="G56" s="28"/>
      <c r="H56" s="29" t="str">
        <f aca="false">IF(A56="","",DATE(YEAR(A56),MONTH(A56),1))</f>
        <v/>
      </c>
    </row>
    <row r="57" customFormat="false" ht="15" hidden="false" customHeight="false" outlineLevel="0" collapsed="false">
      <c r="A57" s="26"/>
      <c r="B57" s="4"/>
      <c r="C57" s="27" t="str">
        <f aca="false">IF(B57="","",IFERROR(INDEX(Listas!$C$5:$C$40,MATCH(B57,Listas!$B$5:$B$40,0)),"?"))</f>
        <v/>
      </c>
      <c r="D57" s="4"/>
      <c r="E57" s="4"/>
      <c r="F57" s="4"/>
      <c r="G57" s="28"/>
      <c r="H57" s="29" t="str">
        <f aca="false">IF(A57="","",DATE(YEAR(A57),MONTH(A57),1))</f>
        <v/>
      </c>
    </row>
    <row r="58" customFormat="false" ht="15" hidden="false" customHeight="false" outlineLevel="0" collapsed="false">
      <c r="A58" s="26"/>
      <c r="B58" s="4"/>
      <c r="C58" s="27" t="str">
        <f aca="false">IF(B58="","",IFERROR(INDEX(Listas!$C$5:$C$40,MATCH(B58,Listas!$B$5:$B$40,0)),"?"))</f>
        <v/>
      </c>
      <c r="D58" s="4"/>
      <c r="E58" s="4"/>
      <c r="F58" s="4"/>
      <c r="G58" s="28"/>
      <c r="H58" s="29" t="str">
        <f aca="false">IF(A58="","",DATE(YEAR(A58),MONTH(A58),1))</f>
        <v/>
      </c>
    </row>
    <row r="59" customFormat="false" ht="15" hidden="false" customHeight="false" outlineLevel="0" collapsed="false">
      <c r="A59" s="26"/>
      <c r="B59" s="4"/>
      <c r="C59" s="27" t="str">
        <f aca="false">IF(B59="","",IFERROR(INDEX(Listas!$C$5:$C$40,MATCH(B59,Listas!$B$5:$B$40,0)),"?"))</f>
        <v/>
      </c>
      <c r="D59" s="4"/>
      <c r="E59" s="4"/>
      <c r="F59" s="4"/>
      <c r="G59" s="28"/>
      <c r="H59" s="29" t="str">
        <f aca="false">IF(A59="","",DATE(YEAR(A59),MONTH(A59),1))</f>
        <v/>
      </c>
    </row>
    <row r="60" customFormat="false" ht="15" hidden="false" customHeight="false" outlineLevel="0" collapsed="false">
      <c r="A60" s="26"/>
      <c r="B60" s="4"/>
      <c r="C60" s="27" t="str">
        <f aca="false">IF(B60="","",IFERROR(INDEX(Listas!$C$5:$C$40,MATCH(B60,Listas!$B$5:$B$40,0)),"?"))</f>
        <v/>
      </c>
      <c r="D60" s="4"/>
      <c r="E60" s="4"/>
      <c r="F60" s="4"/>
      <c r="G60" s="28"/>
      <c r="H60" s="29" t="str">
        <f aca="false">IF(A60="","",DATE(YEAR(A60),MONTH(A60),1))</f>
        <v/>
      </c>
    </row>
    <row r="61" customFormat="false" ht="15" hidden="false" customHeight="false" outlineLevel="0" collapsed="false">
      <c r="A61" s="26"/>
      <c r="B61" s="4"/>
      <c r="C61" s="27" t="str">
        <f aca="false">IF(B61="","",IFERROR(INDEX(Listas!$C$5:$C$40,MATCH(B61,Listas!$B$5:$B$40,0)),"?"))</f>
        <v/>
      </c>
      <c r="D61" s="4"/>
      <c r="E61" s="4"/>
      <c r="F61" s="4"/>
      <c r="G61" s="28"/>
      <c r="H61" s="29" t="str">
        <f aca="false">IF(A61="","",DATE(YEAR(A61),MONTH(A61),1))</f>
        <v/>
      </c>
    </row>
    <row r="62" customFormat="false" ht="15" hidden="false" customHeight="false" outlineLevel="0" collapsed="false">
      <c r="A62" s="26"/>
      <c r="B62" s="4"/>
      <c r="C62" s="27" t="str">
        <f aca="false">IF(B62="","",IFERROR(INDEX(Listas!$C$5:$C$40,MATCH(B62,Listas!$B$5:$B$40,0)),"?"))</f>
        <v/>
      </c>
      <c r="D62" s="4"/>
      <c r="E62" s="4"/>
      <c r="F62" s="4"/>
      <c r="G62" s="28"/>
      <c r="H62" s="29" t="str">
        <f aca="false">IF(A62="","",DATE(YEAR(A62),MONTH(A62),1))</f>
        <v/>
      </c>
    </row>
    <row r="63" customFormat="false" ht="15" hidden="false" customHeight="false" outlineLevel="0" collapsed="false">
      <c r="A63" s="26"/>
      <c r="B63" s="4"/>
      <c r="C63" s="27" t="str">
        <f aca="false">IF(B63="","",IFERROR(INDEX(Listas!$C$5:$C$40,MATCH(B63,Listas!$B$5:$B$40,0)),"?"))</f>
        <v/>
      </c>
      <c r="D63" s="4"/>
      <c r="E63" s="4"/>
      <c r="F63" s="4"/>
      <c r="G63" s="28"/>
      <c r="H63" s="29" t="str">
        <f aca="false">IF(A63="","",DATE(YEAR(A63),MONTH(A63),1))</f>
        <v/>
      </c>
    </row>
    <row r="64" customFormat="false" ht="15" hidden="false" customHeight="false" outlineLevel="0" collapsed="false">
      <c r="A64" s="26"/>
      <c r="B64" s="4"/>
      <c r="C64" s="27" t="str">
        <f aca="false">IF(B64="","",IFERROR(INDEX(Listas!$C$5:$C$40,MATCH(B64,Listas!$B$5:$B$40,0)),"?"))</f>
        <v/>
      </c>
      <c r="D64" s="4"/>
      <c r="E64" s="4"/>
      <c r="F64" s="4"/>
      <c r="G64" s="28"/>
      <c r="H64" s="29" t="str">
        <f aca="false">IF(A64="","",DATE(YEAR(A64),MONTH(A64),1))</f>
        <v/>
      </c>
    </row>
    <row r="65" customFormat="false" ht="15" hidden="false" customHeight="false" outlineLevel="0" collapsed="false">
      <c r="A65" s="26"/>
      <c r="B65" s="4"/>
      <c r="C65" s="27" t="str">
        <f aca="false">IF(B65="","",IFERROR(INDEX(Listas!$C$5:$C$40,MATCH(B65,Listas!$B$5:$B$40,0)),"?"))</f>
        <v/>
      </c>
      <c r="D65" s="4"/>
      <c r="E65" s="4"/>
      <c r="F65" s="4"/>
      <c r="G65" s="28"/>
      <c r="H65" s="29" t="str">
        <f aca="false">IF(A65="","",DATE(YEAR(A65),MONTH(A65),1))</f>
        <v/>
      </c>
    </row>
    <row r="66" customFormat="false" ht="15" hidden="false" customHeight="false" outlineLevel="0" collapsed="false">
      <c r="A66" s="26"/>
      <c r="B66" s="4"/>
      <c r="C66" s="27" t="str">
        <f aca="false">IF(B66="","",IFERROR(INDEX(Listas!$C$5:$C$40,MATCH(B66,Listas!$B$5:$B$40,0)),"?"))</f>
        <v/>
      </c>
      <c r="D66" s="4"/>
      <c r="E66" s="4"/>
      <c r="F66" s="4"/>
      <c r="G66" s="28"/>
      <c r="H66" s="29" t="str">
        <f aca="false">IF(A66="","",DATE(YEAR(A66),MONTH(A66),1))</f>
        <v/>
      </c>
    </row>
    <row r="67" customFormat="false" ht="15" hidden="false" customHeight="false" outlineLevel="0" collapsed="false">
      <c r="A67" s="26"/>
      <c r="B67" s="4"/>
      <c r="C67" s="27" t="str">
        <f aca="false">IF(B67="","",IFERROR(INDEX(Listas!$C$5:$C$40,MATCH(B67,Listas!$B$5:$B$40,0)),"?"))</f>
        <v/>
      </c>
      <c r="D67" s="4"/>
      <c r="E67" s="4"/>
      <c r="F67" s="4"/>
      <c r="G67" s="28"/>
      <c r="H67" s="29" t="str">
        <f aca="false">IF(A67="","",DATE(YEAR(A67),MONTH(A67),1))</f>
        <v/>
      </c>
    </row>
    <row r="68" customFormat="false" ht="15" hidden="false" customHeight="false" outlineLevel="0" collapsed="false">
      <c r="A68" s="26"/>
      <c r="B68" s="4"/>
      <c r="C68" s="27" t="str">
        <f aca="false">IF(B68="","",IFERROR(INDEX(Listas!$C$5:$C$40,MATCH(B68,Listas!$B$5:$B$40,0)),"?"))</f>
        <v/>
      </c>
      <c r="D68" s="4"/>
      <c r="E68" s="4"/>
      <c r="F68" s="4"/>
      <c r="G68" s="28"/>
      <c r="H68" s="29" t="str">
        <f aca="false">IF(A68="","",DATE(YEAR(A68),MONTH(A68),1))</f>
        <v/>
      </c>
    </row>
    <row r="69" customFormat="false" ht="15" hidden="false" customHeight="false" outlineLevel="0" collapsed="false">
      <c r="A69" s="26"/>
      <c r="B69" s="4"/>
      <c r="C69" s="27" t="str">
        <f aca="false">IF(B69="","",IFERROR(INDEX(Listas!$C$5:$C$40,MATCH(B69,Listas!$B$5:$B$40,0)),"?"))</f>
        <v/>
      </c>
      <c r="D69" s="4"/>
      <c r="E69" s="4"/>
      <c r="F69" s="4"/>
      <c r="G69" s="28"/>
      <c r="H69" s="29" t="str">
        <f aca="false">IF(A69="","",DATE(YEAR(A69),MONTH(A69),1))</f>
        <v/>
      </c>
    </row>
    <row r="70" customFormat="false" ht="15" hidden="false" customHeight="false" outlineLevel="0" collapsed="false">
      <c r="A70" s="26"/>
      <c r="B70" s="4"/>
      <c r="C70" s="27" t="str">
        <f aca="false">IF(B70="","",IFERROR(INDEX(Listas!$C$5:$C$40,MATCH(B70,Listas!$B$5:$B$40,0)),"?"))</f>
        <v/>
      </c>
      <c r="D70" s="4"/>
      <c r="E70" s="4"/>
      <c r="F70" s="4"/>
      <c r="G70" s="28"/>
      <c r="H70" s="29" t="str">
        <f aca="false">IF(A70="","",DATE(YEAR(A70),MONTH(A70),1))</f>
        <v/>
      </c>
    </row>
    <row r="71" customFormat="false" ht="15" hidden="false" customHeight="false" outlineLevel="0" collapsed="false">
      <c r="A71" s="26"/>
      <c r="B71" s="4"/>
      <c r="C71" s="27" t="str">
        <f aca="false">IF(B71="","",IFERROR(INDEX(Listas!$C$5:$C$40,MATCH(B71,Listas!$B$5:$B$40,0)),"?"))</f>
        <v/>
      </c>
      <c r="D71" s="4"/>
      <c r="E71" s="4"/>
      <c r="F71" s="4"/>
      <c r="G71" s="28"/>
      <c r="H71" s="29" t="str">
        <f aca="false">IF(A71="","",DATE(YEAR(A71),MONTH(A71),1))</f>
        <v/>
      </c>
    </row>
    <row r="72" customFormat="false" ht="15" hidden="false" customHeight="false" outlineLevel="0" collapsed="false">
      <c r="A72" s="26"/>
      <c r="B72" s="4"/>
      <c r="C72" s="27" t="str">
        <f aca="false">IF(B72="","",IFERROR(INDEX(Listas!$C$5:$C$40,MATCH(B72,Listas!$B$5:$B$40,0)),"?"))</f>
        <v/>
      </c>
      <c r="D72" s="4"/>
      <c r="E72" s="4"/>
      <c r="F72" s="4"/>
      <c r="G72" s="28"/>
      <c r="H72" s="29" t="str">
        <f aca="false">IF(A72="","",DATE(YEAR(A72),MONTH(A72),1))</f>
        <v/>
      </c>
    </row>
    <row r="73" customFormat="false" ht="15" hidden="false" customHeight="false" outlineLevel="0" collapsed="false">
      <c r="A73" s="26"/>
      <c r="B73" s="4"/>
      <c r="C73" s="27" t="str">
        <f aca="false">IF(B73="","",IFERROR(INDEX(Listas!$C$5:$C$40,MATCH(B73,Listas!$B$5:$B$40,0)),"?"))</f>
        <v/>
      </c>
      <c r="D73" s="4"/>
      <c r="E73" s="4"/>
      <c r="F73" s="4"/>
      <c r="G73" s="28"/>
      <c r="H73" s="29" t="str">
        <f aca="false">IF(A73="","",DATE(YEAR(A73),MONTH(A73),1))</f>
        <v/>
      </c>
    </row>
    <row r="74" customFormat="false" ht="15" hidden="false" customHeight="false" outlineLevel="0" collapsed="false">
      <c r="A74" s="26"/>
      <c r="B74" s="4"/>
      <c r="C74" s="27" t="str">
        <f aca="false">IF(B74="","",IFERROR(INDEX(Listas!$C$5:$C$40,MATCH(B74,Listas!$B$5:$B$40,0)),"?"))</f>
        <v/>
      </c>
      <c r="D74" s="4"/>
      <c r="E74" s="4"/>
      <c r="F74" s="4"/>
      <c r="G74" s="28"/>
      <c r="H74" s="29" t="str">
        <f aca="false">IF(A74="","",DATE(YEAR(A74),MONTH(A74),1))</f>
        <v/>
      </c>
    </row>
    <row r="75" customFormat="false" ht="15" hidden="false" customHeight="false" outlineLevel="0" collapsed="false">
      <c r="A75" s="26"/>
      <c r="B75" s="4"/>
      <c r="C75" s="27" t="str">
        <f aca="false">IF(B75="","",IFERROR(INDEX(Listas!$C$5:$C$40,MATCH(B75,Listas!$B$5:$B$40,0)),"?"))</f>
        <v/>
      </c>
      <c r="D75" s="4"/>
      <c r="E75" s="4"/>
      <c r="F75" s="4"/>
      <c r="G75" s="28"/>
      <c r="H75" s="29" t="str">
        <f aca="false">IF(A75="","",DATE(YEAR(A75),MONTH(A75),1))</f>
        <v/>
      </c>
    </row>
    <row r="76" customFormat="false" ht="15" hidden="false" customHeight="false" outlineLevel="0" collapsed="false">
      <c r="A76" s="26"/>
      <c r="B76" s="4"/>
      <c r="C76" s="27" t="str">
        <f aca="false">IF(B76="","",IFERROR(INDEX(Listas!$C$5:$C$40,MATCH(B76,Listas!$B$5:$B$40,0)),"?"))</f>
        <v/>
      </c>
      <c r="D76" s="4"/>
      <c r="E76" s="4"/>
      <c r="F76" s="4"/>
      <c r="G76" s="28"/>
      <c r="H76" s="29" t="str">
        <f aca="false">IF(A76="","",DATE(YEAR(A76),MONTH(A76),1))</f>
        <v/>
      </c>
    </row>
    <row r="77" customFormat="false" ht="15" hidden="false" customHeight="false" outlineLevel="0" collapsed="false">
      <c r="A77" s="26"/>
      <c r="B77" s="4"/>
      <c r="C77" s="27" t="str">
        <f aca="false">IF(B77="","",IFERROR(INDEX(Listas!$C$5:$C$40,MATCH(B77,Listas!$B$5:$B$40,0)),"?"))</f>
        <v/>
      </c>
      <c r="D77" s="4"/>
      <c r="E77" s="4"/>
      <c r="F77" s="4"/>
      <c r="G77" s="28"/>
      <c r="H77" s="29" t="str">
        <f aca="false">IF(A77="","",DATE(YEAR(A77),MONTH(A77),1))</f>
        <v/>
      </c>
    </row>
    <row r="78" customFormat="false" ht="15" hidden="false" customHeight="false" outlineLevel="0" collapsed="false">
      <c r="A78" s="26"/>
      <c r="B78" s="4"/>
      <c r="C78" s="27" t="str">
        <f aca="false">IF(B78="","",IFERROR(INDEX(Listas!$C$5:$C$40,MATCH(B78,Listas!$B$5:$B$40,0)),"?"))</f>
        <v/>
      </c>
      <c r="D78" s="4"/>
      <c r="E78" s="4"/>
      <c r="F78" s="4"/>
      <c r="G78" s="28"/>
      <c r="H78" s="29" t="str">
        <f aca="false">IF(A78="","",DATE(YEAR(A78),MONTH(A78),1))</f>
        <v/>
      </c>
    </row>
    <row r="79" customFormat="false" ht="15" hidden="false" customHeight="false" outlineLevel="0" collapsed="false">
      <c r="A79" s="26"/>
      <c r="B79" s="4"/>
      <c r="C79" s="27" t="str">
        <f aca="false">IF(B79="","",IFERROR(INDEX(Listas!$C$5:$C$40,MATCH(B79,Listas!$B$5:$B$40,0)),"?"))</f>
        <v/>
      </c>
      <c r="D79" s="4"/>
      <c r="E79" s="4"/>
      <c r="F79" s="4"/>
      <c r="G79" s="28"/>
      <c r="H79" s="29" t="str">
        <f aca="false">IF(A79="","",DATE(YEAR(A79),MONTH(A79),1))</f>
        <v/>
      </c>
    </row>
    <row r="80" customFormat="false" ht="15" hidden="false" customHeight="false" outlineLevel="0" collapsed="false">
      <c r="A80" s="26"/>
      <c r="B80" s="4"/>
      <c r="C80" s="27" t="str">
        <f aca="false">IF(B80="","",IFERROR(INDEX(Listas!$C$5:$C$40,MATCH(B80,Listas!$B$5:$B$40,0)),"?"))</f>
        <v/>
      </c>
      <c r="D80" s="4"/>
      <c r="E80" s="4"/>
      <c r="F80" s="4"/>
      <c r="G80" s="28"/>
      <c r="H80" s="29" t="str">
        <f aca="false">IF(A80="","",DATE(YEAR(A80),MONTH(A80),1))</f>
        <v/>
      </c>
    </row>
    <row r="81" customFormat="false" ht="15" hidden="false" customHeight="false" outlineLevel="0" collapsed="false">
      <c r="A81" s="26"/>
      <c r="B81" s="4"/>
      <c r="C81" s="27" t="str">
        <f aca="false">IF(B81="","",IFERROR(INDEX(Listas!$C$5:$C$40,MATCH(B81,Listas!$B$5:$B$40,0)),"?"))</f>
        <v/>
      </c>
      <c r="D81" s="4"/>
      <c r="E81" s="4"/>
      <c r="F81" s="4"/>
      <c r="G81" s="28"/>
      <c r="H81" s="29" t="str">
        <f aca="false">IF(A81="","",DATE(YEAR(A81),MONTH(A81),1))</f>
        <v/>
      </c>
    </row>
    <row r="82" customFormat="false" ht="15" hidden="false" customHeight="false" outlineLevel="0" collapsed="false">
      <c r="A82" s="26"/>
      <c r="B82" s="4"/>
      <c r="C82" s="27" t="str">
        <f aca="false">IF(B82="","",IFERROR(INDEX(Listas!$C$5:$C$40,MATCH(B82,Listas!$B$5:$B$40,0)),"?"))</f>
        <v/>
      </c>
      <c r="D82" s="4"/>
      <c r="E82" s="4"/>
      <c r="F82" s="4"/>
      <c r="G82" s="28"/>
      <c r="H82" s="29" t="str">
        <f aca="false">IF(A82="","",DATE(YEAR(A82),MONTH(A82),1))</f>
        <v/>
      </c>
    </row>
    <row r="83" customFormat="false" ht="15" hidden="false" customHeight="false" outlineLevel="0" collapsed="false">
      <c r="A83" s="26"/>
      <c r="B83" s="4"/>
      <c r="C83" s="27" t="str">
        <f aca="false">IF(B83="","",IFERROR(INDEX(Listas!$C$5:$C$40,MATCH(B83,Listas!$B$5:$B$40,0)),"?"))</f>
        <v/>
      </c>
      <c r="D83" s="4"/>
      <c r="E83" s="4"/>
      <c r="F83" s="4"/>
      <c r="G83" s="28"/>
      <c r="H83" s="29" t="str">
        <f aca="false">IF(A83="","",DATE(YEAR(A83),MONTH(A83),1))</f>
        <v/>
      </c>
    </row>
    <row r="84" customFormat="false" ht="15" hidden="false" customHeight="false" outlineLevel="0" collapsed="false">
      <c r="A84" s="26"/>
      <c r="B84" s="4"/>
      <c r="C84" s="27" t="str">
        <f aca="false">IF(B84="","",IFERROR(INDEX(Listas!$C$5:$C$40,MATCH(B84,Listas!$B$5:$B$40,0)),"?"))</f>
        <v/>
      </c>
      <c r="D84" s="4"/>
      <c r="E84" s="4"/>
      <c r="F84" s="4"/>
      <c r="G84" s="28"/>
      <c r="H84" s="29" t="str">
        <f aca="false">IF(A84="","",DATE(YEAR(A84),MONTH(A84),1))</f>
        <v/>
      </c>
    </row>
    <row r="85" customFormat="false" ht="15" hidden="false" customHeight="false" outlineLevel="0" collapsed="false">
      <c r="A85" s="26"/>
      <c r="B85" s="4"/>
      <c r="C85" s="27" t="str">
        <f aca="false">IF(B85="","",IFERROR(INDEX(Listas!$C$5:$C$40,MATCH(B85,Listas!$B$5:$B$40,0)),"?"))</f>
        <v/>
      </c>
      <c r="D85" s="4"/>
      <c r="E85" s="4"/>
      <c r="F85" s="4"/>
      <c r="G85" s="28"/>
      <c r="H85" s="29" t="str">
        <f aca="false">IF(A85="","",DATE(YEAR(A85),MONTH(A85),1))</f>
        <v/>
      </c>
    </row>
    <row r="86" customFormat="false" ht="15" hidden="false" customHeight="false" outlineLevel="0" collapsed="false">
      <c r="A86" s="26"/>
      <c r="B86" s="4"/>
      <c r="C86" s="27" t="str">
        <f aca="false">IF(B86="","",IFERROR(INDEX(Listas!$C$5:$C$40,MATCH(B86,Listas!$B$5:$B$40,0)),"?"))</f>
        <v/>
      </c>
      <c r="D86" s="4"/>
      <c r="E86" s="4"/>
      <c r="F86" s="4"/>
      <c r="G86" s="28"/>
      <c r="H86" s="29" t="str">
        <f aca="false">IF(A86="","",DATE(YEAR(A86),MONTH(A86),1))</f>
        <v/>
      </c>
    </row>
    <row r="87" customFormat="false" ht="15" hidden="false" customHeight="false" outlineLevel="0" collapsed="false">
      <c r="A87" s="26"/>
      <c r="B87" s="4"/>
      <c r="C87" s="27" t="str">
        <f aca="false">IF(B87="","",IFERROR(INDEX(Listas!$C$5:$C$40,MATCH(B87,Listas!$B$5:$B$40,0)),"?"))</f>
        <v/>
      </c>
      <c r="D87" s="4"/>
      <c r="E87" s="4"/>
      <c r="F87" s="4"/>
      <c r="G87" s="28"/>
      <c r="H87" s="29" t="str">
        <f aca="false">IF(A87="","",DATE(YEAR(A87),MONTH(A87),1))</f>
        <v/>
      </c>
    </row>
    <row r="88" customFormat="false" ht="15" hidden="false" customHeight="false" outlineLevel="0" collapsed="false">
      <c r="A88" s="26"/>
      <c r="B88" s="4"/>
      <c r="C88" s="27" t="str">
        <f aca="false">IF(B88="","",IFERROR(INDEX(Listas!$C$5:$C$40,MATCH(B88,Listas!$B$5:$B$40,0)),"?"))</f>
        <v/>
      </c>
      <c r="D88" s="4"/>
      <c r="E88" s="4"/>
      <c r="F88" s="4"/>
      <c r="G88" s="28"/>
      <c r="H88" s="29" t="str">
        <f aca="false">IF(A88="","",DATE(YEAR(A88),MONTH(A88),1))</f>
        <v/>
      </c>
    </row>
    <row r="89" customFormat="false" ht="15" hidden="false" customHeight="false" outlineLevel="0" collapsed="false">
      <c r="A89" s="26"/>
      <c r="B89" s="4"/>
      <c r="C89" s="27" t="str">
        <f aca="false">IF(B89="","",IFERROR(INDEX(Listas!$C$5:$C$40,MATCH(B89,Listas!$B$5:$B$40,0)),"?"))</f>
        <v/>
      </c>
      <c r="D89" s="4"/>
      <c r="E89" s="4"/>
      <c r="F89" s="4"/>
      <c r="G89" s="28"/>
      <c r="H89" s="29" t="str">
        <f aca="false">IF(A89="","",DATE(YEAR(A89),MONTH(A89),1))</f>
        <v/>
      </c>
    </row>
    <row r="90" customFormat="false" ht="15" hidden="false" customHeight="false" outlineLevel="0" collapsed="false">
      <c r="A90" s="26"/>
      <c r="B90" s="4"/>
      <c r="C90" s="27" t="str">
        <f aca="false">IF(B90="","",IFERROR(INDEX(Listas!$C$5:$C$40,MATCH(B90,Listas!$B$5:$B$40,0)),"?"))</f>
        <v/>
      </c>
      <c r="D90" s="4"/>
      <c r="E90" s="4"/>
      <c r="F90" s="4"/>
      <c r="G90" s="28"/>
      <c r="H90" s="29" t="str">
        <f aca="false">IF(A90="","",DATE(YEAR(A90),MONTH(A90),1))</f>
        <v/>
      </c>
    </row>
    <row r="91" customFormat="false" ht="15" hidden="false" customHeight="false" outlineLevel="0" collapsed="false">
      <c r="A91" s="26"/>
      <c r="B91" s="4"/>
      <c r="C91" s="27" t="str">
        <f aca="false">IF(B91="","",IFERROR(INDEX(Listas!$C$5:$C$40,MATCH(B91,Listas!$B$5:$B$40,0)),"?"))</f>
        <v/>
      </c>
      <c r="D91" s="4"/>
      <c r="E91" s="4"/>
      <c r="F91" s="4"/>
      <c r="G91" s="28"/>
      <c r="H91" s="29" t="str">
        <f aca="false">IF(A91="","",DATE(YEAR(A91),MONTH(A91),1))</f>
        <v/>
      </c>
    </row>
    <row r="92" customFormat="false" ht="15" hidden="false" customHeight="false" outlineLevel="0" collapsed="false">
      <c r="A92" s="26"/>
      <c r="B92" s="4"/>
      <c r="C92" s="27" t="str">
        <f aca="false">IF(B92="","",IFERROR(INDEX(Listas!$C$5:$C$40,MATCH(B92,Listas!$B$5:$B$40,0)),"?"))</f>
        <v/>
      </c>
      <c r="D92" s="4"/>
      <c r="E92" s="4"/>
      <c r="F92" s="4"/>
      <c r="G92" s="28"/>
      <c r="H92" s="29" t="str">
        <f aca="false">IF(A92="","",DATE(YEAR(A92),MONTH(A92),1))</f>
        <v/>
      </c>
    </row>
    <row r="93" customFormat="false" ht="15" hidden="false" customHeight="false" outlineLevel="0" collapsed="false">
      <c r="A93" s="26"/>
      <c r="B93" s="4"/>
      <c r="C93" s="27" t="str">
        <f aca="false">IF(B93="","",IFERROR(INDEX(Listas!$C$5:$C$40,MATCH(B93,Listas!$B$5:$B$40,0)),"?"))</f>
        <v/>
      </c>
      <c r="D93" s="4"/>
      <c r="E93" s="4"/>
      <c r="F93" s="4"/>
      <c r="G93" s="28"/>
      <c r="H93" s="29" t="str">
        <f aca="false">IF(A93="","",DATE(YEAR(A93),MONTH(A93),1))</f>
        <v/>
      </c>
    </row>
    <row r="94" customFormat="false" ht="15" hidden="false" customHeight="false" outlineLevel="0" collapsed="false">
      <c r="A94" s="26"/>
      <c r="B94" s="4"/>
      <c r="C94" s="27" t="str">
        <f aca="false">IF(B94="","",IFERROR(INDEX(Listas!$C$5:$C$40,MATCH(B94,Listas!$B$5:$B$40,0)),"?"))</f>
        <v/>
      </c>
      <c r="D94" s="4"/>
      <c r="E94" s="4"/>
      <c r="F94" s="4"/>
      <c r="G94" s="28"/>
      <c r="H94" s="29" t="str">
        <f aca="false">IF(A94="","",DATE(YEAR(A94),MONTH(A94),1))</f>
        <v/>
      </c>
    </row>
    <row r="95" customFormat="false" ht="15" hidden="false" customHeight="false" outlineLevel="0" collapsed="false">
      <c r="A95" s="26"/>
      <c r="B95" s="4"/>
      <c r="C95" s="27" t="str">
        <f aca="false">IF(B95="","",IFERROR(INDEX(Listas!$C$5:$C$40,MATCH(B95,Listas!$B$5:$B$40,0)),"?"))</f>
        <v/>
      </c>
      <c r="D95" s="4"/>
      <c r="E95" s="4"/>
      <c r="F95" s="4"/>
      <c r="G95" s="28"/>
      <c r="H95" s="29" t="str">
        <f aca="false">IF(A95="","",DATE(YEAR(A95),MONTH(A95),1))</f>
        <v/>
      </c>
    </row>
    <row r="96" customFormat="false" ht="15" hidden="false" customHeight="false" outlineLevel="0" collapsed="false">
      <c r="A96" s="26"/>
      <c r="B96" s="4"/>
      <c r="C96" s="27" t="str">
        <f aca="false">IF(B96="","",IFERROR(INDEX(Listas!$C$5:$C$40,MATCH(B96,Listas!$B$5:$B$40,0)),"?"))</f>
        <v/>
      </c>
      <c r="D96" s="4"/>
      <c r="E96" s="4"/>
      <c r="F96" s="4"/>
      <c r="G96" s="28"/>
      <c r="H96" s="29" t="str">
        <f aca="false">IF(A96="","",DATE(YEAR(A96),MONTH(A96),1))</f>
        <v/>
      </c>
    </row>
    <row r="97" customFormat="false" ht="15" hidden="false" customHeight="false" outlineLevel="0" collapsed="false">
      <c r="A97" s="26"/>
      <c r="B97" s="4"/>
      <c r="C97" s="27" t="str">
        <f aca="false">IF(B97="","",IFERROR(INDEX(Listas!$C$5:$C$40,MATCH(B97,Listas!$B$5:$B$40,0)),"?"))</f>
        <v/>
      </c>
      <c r="D97" s="4"/>
      <c r="E97" s="4"/>
      <c r="F97" s="4"/>
      <c r="G97" s="28"/>
      <c r="H97" s="29" t="str">
        <f aca="false">IF(A97="","",DATE(YEAR(A97),MONTH(A97),1))</f>
        <v/>
      </c>
    </row>
    <row r="98" customFormat="false" ht="15" hidden="false" customHeight="false" outlineLevel="0" collapsed="false">
      <c r="A98" s="26"/>
      <c r="B98" s="4"/>
      <c r="C98" s="27" t="str">
        <f aca="false">IF(B98="","",IFERROR(INDEX(Listas!$C$5:$C$40,MATCH(B98,Listas!$B$5:$B$40,0)),"?"))</f>
        <v/>
      </c>
      <c r="D98" s="4"/>
      <c r="E98" s="4"/>
      <c r="F98" s="4"/>
      <c r="G98" s="28"/>
      <c r="H98" s="29" t="str">
        <f aca="false">IF(A98="","",DATE(YEAR(A98),MONTH(A98),1))</f>
        <v/>
      </c>
    </row>
    <row r="99" customFormat="false" ht="15" hidden="false" customHeight="false" outlineLevel="0" collapsed="false">
      <c r="A99" s="26"/>
      <c r="B99" s="4"/>
      <c r="C99" s="27" t="str">
        <f aca="false">IF(B99="","",IFERROR(INDEX(Listas!$C$5:$C$40,MATCH(B99,Listas!$B$5:$B$40,0)),"?"))</f>
        <v/>
      </c>
      <c r="D99" s="4"/>
      <c r="E99" s="4"/>
      <c r="F99" s="4"/>
      <c r="G99" s="28"/>
      <c r="H99" s="29" t="str">
        <f aca="false">IF(A99="","",DATE(YEAR(A99),MONTH(A99),1))</f>
        <v/>
      </c>
    </row>
    <row r="100" customFormat="false" ht="15" hidden="false" customHeight="false" outlineLevel="0" collapsed="false">
      <c r="A100" s="26"/>
      <c r="B100" s="4"/>
      <c r="C100" s="27" t="str">
        <f aca="false">IF(B100="","",IFERROR(INDEX(Listas!$C$5:$C$40,MATCH(B100,Listas!$B$5:$B$40,0)),"?"))</f>
        <v/>
      </c>
      <c r="D100" s="4"/>
      <c r="E100" s="4"/>
      <c r="F100" s="4"/>
      <c r="G100" s="28"/>
      <c r="H100" s="29" t="str">
        <f aca="false">IF(A100="","",DATE(YEAR(A100),MONTH(A100),1))</f>
        <v/>
      </c>
    </row>
    <row r="101" customFormat="false" ht="15" hidden="false" customHeight="false" outlineLevel="0" collapsed="false">
      <c r="A101" s="26"/>
      <c r="B101" s="4"/>
      <c r="C101" s="27" t="str">
        <f aca="false">IF(B101="","",IFERROR(INDEX(Listas!$C$5:$C$40,MATCH(B101,Listas!$B$5:$B$40,0)),"?"))</f>
        <v/>
      </c>
      <c r="D101" s="4"/>
      <c r="E101" s="4"/>
      <c r="F101" s="4"/>
      <c r="G101" s="28"/>
      <c r="H101" s="29" t="str">
        <f aca="false">IF(A101="","",DATE(YEAR(A101),MONTH(A101),1))</f>
        <v/>
      </c>
    </row>
    <row r="102" customFormat="false" ht="15" hidden="false" customHeight="false" outlineLevel="0" collapsed="false">
      <c r="A102" s="26"/>
      <c r="B102" s="4"/>
      <c r="C102" s="27" t="str">
        <f aca="false">IF(B102="","",IFERROR(INDEX(Listas!$C$5:$C$40,MATCH(B102,Listas!$B$5:$B$40,0)),"?"))</f>
        <v/>
      </c>
      <c r="D102" s="4"/>
      <c r="E102" s="4"/>
      <c r="F102" s="4"/>
      <c r="G102" s="28"/>
      <c r="H102" s="29" t="str">
        <f aca="false">IF(A102="","",DATE(YEAR(A102),MONTH(A102),1))</f>
        <v/>
      </c>
    </row>
    <row r="103" customFormat="false" ht="15" hidden="false" customHeight="false" outlineLevel="0" collapsed="false">
      <c r="A103" s="26"/>
      <c r="B103" s="4"/>
      <c r="C103" s="27" t="str">
        <f aca="false">IF(B103="","",IFERROR(INDEX(Listas!$C$5:$C$40,MATCH(B103,Listas!$B$5:$B$40,0)),"?"))</f>
        <v/>
      </c>
      <c r="D103" s="4"/>
      <c r="E103" s="4"/>
      <c r="F103" s="4"/>
      <c r="G103" s="28"/>
      <c r="H103" s="29" t="str">
        <f aca="false">IF(A103="","",DATE(YEAR(A103),MONTH(A103),1))</f>
        <v/>
      </c>
    </row>
    <row r="104" customFormat="false" ht="15" hidden="false" customHeight="false" outlineLevel="0" collapsed="false">
      <c r="A104" s="26"/>
      <c r="B104" s="4"/>
      <c r="C104" s="27" t="str">
        <f aca="false">IF(B104="","",IFERROR(INDEX(Listas!$C$5:$C$40,MATCH(B104,Listas!$B$5:$B$40,0)),"?"))</f>
        <v/>
      </c>
      <c r="D104" s="4"/>
      <c r="E104" s="4"/>
      <c r="F104" s="4"/>
      <c r="G104" s="28"/>
      <c r="H104" s="29" t="str">
        <f aca="false">IF(A104="","",DATE(YEAR(A104),MONTH(A104),1))</f>
        <v/>
      </c>
    </row>
    <row r="105" customFormat="false" ht="15" hidden="false" customHeight="false" outlineLevel="0" collapsed="false">
      <c r="A105" s="26"/>
      <c r="B105" s="4"/>
      <c r="C105" s="27" t="str">
        <f aca="false">IF(B105="","",IFERROR(INDEX(Listas!$C$5:$C$40,MATCH(B105,Listas!$B$5:$B$40,0)),"?"))</f>
        <v/>
      </c>
      <c r="D105" s="4"/>
      <c r="E105" s="4"/>
      <c r="F105" s="4"/>
      <c r="G105" s="28"/>
      <c r="H105" s="29" t="str">
        <f aca="false">IF(A105="","",DATE(YEAR(A105),MONTH(A105),1))</f>
        <v/>
      </c>
    </row>
    <row r="106" customFormat="false" ht="15" hidden="false" customHeight="false" outlineLevel="0" collapsed="false">
      <c r="A106" s="26"/>
      <c r="B106" s="4"/>
      <c r="C106" s="27" t="str">
        <f aca="false">IF(B106="","",IFERROR(INDEX(Listas!$C$5:$C$40,MATCH(B106,Listas!$B$5:$B$40,0)),"?"))</f>
        <v/>
      </c>
      <c r="D106" s="4"/>
      <c r="E106" s="4"/>
      <c r="F106" s="4"/>
      <c r="G106" s="28"/>
      <c r="H106" s="29" t="str">
        <f aca="false">IF(A106="","",DATE(YEAR(A106),MONTH(A106),1))</f>
        <v/>
      </c>
    </row>
    <row r="107" customFormat="false" ht="15" hidden="false" customHeight="false" outlineLevel="0" collapsed="false">
      <c r="A107" s="26"/>
      <c r="B107" s="4"/>
      <c r="C107" s="27" t="str">
        <f aca="false">IF(B107="","",IFERROR(INDEX(Listas!$C$5:$C$40,MATCH(B107,Listas!$B$5:$B$40,0)),"?"))</f>
        <v/>
      </c>
      <c r="D107" s="4"/>
      <c r="E107" s="4"/>
      <c r="F107" s="4"/>
      <c r="G107" s="28"/>
      <c r="H107" s="29" t="str">
        <f aca="false">IF(A107="","",DATE(YEAR(A107),MONTH(A107),1))</f>
        <v/>
      </c>
    </row>
    <row r="108" customFormat="false" ht="15" hidden="false" customHeight="false" outlineLevel="0" collapsed="false">
      <c r="A108" s="26"/>
      <c r="B108" s="4"/>
      <c r="C108" s="27" t="str">
        <f aca="false">IF(B108="","",IFERROR(INDEX(Listas!$C$5:$C$40,MATCH(B108,Listas!$B$5:$B$40,0)),"?"))</f>
        <v/>
      </c>
      <c r="D108" s="4"/>
      <c r="E108" s="4"/>
      <c r="F108" s="4"/>
      <c r="G108" s="28"/>
      <c r="H108" s="29" t="str">
        <f aca="false">IF(A108="","",DATE(YEAR(A108),MONTH(A108),1))</f>
        <v/>
      </c>
    </row>
    <row r="109" customFormat="false" ht="15" hidden="false" customHeight="false" outlineLevel="0" collapsed="false">
      <c r="A109" s="26"/>
      <c r="B109" s="4"/>
      <c r="C109" s="27" t="str">
        <f aca="false">IF(B109="","",IFERROR(INDEX(Listas!$C$5:$C$40,MATCH(B109,Listas!$B$5:$B$40,0)),"?"))</f>
        <v/>
      </c>
      <c r="D109" s="4"/>
      <c r="E109" s="4"/>
      <c r="F109" s="4"/>
      <c r="G109" s="28"/>
      <c r="H109" s="29" t="str">
        <f aca="false">IF(A109="","",DATE(YEAR(A109),MONTH(A109),1))</f>
        <v/>
      </c>
    </row>
    <row r="110" customFormat="false" ht="15" hidden="false" customHeight="false" outlineLevel="0" collapsed="false">
      <c r="A110" s="26"/>
      <c r="B110" s="4"/>
      <c r="C110" s="27" t="str">
        <f aca="false">IF(B110="","",IFERROR(INDEX(Listas!$C$5:$C$40,MATCH(B110,Listas!$B$5:$B$40,0)),"?"))</f>
        <v/>
      </c>
      <c r="D110" s="4"/>
      <c r="E110" s="4"/>
      <c r="F110" s="4"/>
      <c r="G110" s="28"/>
      <c r="H110" s="29" t="str">
        <f aca="false">IF(A110="","",DATE(YEAR(A110),MONTH(A110),1))</f>
        <v/>
      </c>
    </row>
    <row r="111" customFormat="false" ht="15" hidden="false" customHeight="false" outlineLevel="0" collapsed="false">
      <c r="A111" s="26"/>
      <c r="B111" s="4"/>
      <c r="C111" s="27" t="str">
        <f aca="false">IF(B111="","",IFERROR(INDEX(Listas!$C$5:$C$40,MATCH(B111,Listas!$B$5:$B$40,0)),"?"))</f>
        <v/>
      </c>
      <c r="D111" s="4"/>
      <c r="E111" s="4"/>
      <c r="F111" s="4"/>
      <c r="G111" s="28"/>
      <c r="H111" s="29" t="str">
        <f aca="false">IF(A111="","",DATE(YEAR(A111),MONTH(A111),1))</f>
        <v/>
      </c>
    </row>
    <row r="112" customFormat="false" ht="15" hidden="false" customHeight="false" outlineLevel="0" collapsed="false">
      <c r="A112" s="26"/>
      <c r="B112" s="4"/>
      <c r="C112" s="27" t="str">
        <f aca="false">IF(B112="","",IFERROR(INDEX(Listas!$C$5:$C$40,MATCH(B112,Listas!$B$5:$B$40,0)),"?"))</f>
        <v/>
      </c>
      <c r="D112" s="4"/>
      <c r="E112" s="4"/>
      <c r="F112" s="4"/>
      <c r="G112" s="28"/>
      <c r="H112" s="29" t="str">
        <f aca="false">IF(A112="","",DATE(YEAR(A112),MONTH(A112),1))</f>
        <v/>
      </c>
    </row>
    <row r="113" customFormat="false" ht="15" hidden="false" customHeight="false" outlineLevel="0" collapsed="false">
      <c r="A113" s="26"/>
      <c r="B113" s="4"/>
      <c r="C113" s="27" t="str">
        <f aca="false">IF(B113="","",IFERROR(INDEX(Listas!$C$5:$C$40,MATCH(B113,Listas!$B$5:$B$40,0)),"?"))</f>
        <v/>
      </c>
      <c r="D113" s="4"/>
      <c r="E113" s="4"/>
      <c r="F113" s="4"/>
      <c r="G113" s="28"/>
      <c r="H113" s="29" t="str">
        <f aca="false">IF(A113="","",DATE(YEAR(A113),MONTH(A113),1))</f>
        <v/>
      </c>
    </row>
    <row r="114" customFormat="false" ht="15" hidden="false" customHeight="false" outlineLevel="0" collapsed="false">
      <c r="A114" s="26"/>
      <c r="B114" s="4"/>
      <c r="C114" s="27" t="str">
        <f aca="false">IF(B114="","",IFERROR(INDEX(Listas!$C$5:$C$40,MATCH(B114,Listas!$B$5:$B$40,0)),"?"))</f>
        <v/>
      </c>
      <c r="D114" s="4"/>
      <c r="E114" s="4"/>
      <c r="F114" s="4"/>
      <c r="G114" s="28"/>
      <c r="H114" s="29" t="str">
        <f aca="false">IF(A114="","",DATE(YEAR(A114),MONTH(A114),1))</f>
        <v/>
      </c>
    </row>
    <row r="115" customFormat="false" ht="15" hidden="false" customHeight="false" outlineLevel="0" collapsed="false">
      <c r="A115" s="26"/>
      <c r="B115" s="4"/>
      <c r="C115" s="27" t="str">
        <f aca="false">IF(B115="","",IFERROR(INDEX(Listas!$C$5:$C$40,MATCH(B115,Listas!$B$5:$B$40,0)),"?"))</f>
        <v/>
      </c>
      <c r="D115" s="4"/>
      <c r="E115" s="4"/>
      <c r="F115" s="4"/>
      <c r="G115" s="28"/>
      <c r="H115" s="29" t="str">
        <f aca="false">IF(A115="","",DATE(YEAR(A115),MONTH(A115),1))</f>
        <v/>
      </c>
    </row>
    <row r="116" customFormat="false" ht="15" hidden="false" customHeight="false" outlineLevel="0" collapsed="false">
      <c r="A116" s="26"/>
      <c r="B116" s="4"/>
      <c r="C116" s="27" t="str">
        <f aca="false">IF(B116="","",IFERROR(INDEX(Listas!$C$5:$C$40,MATCH(B116,Listas!$B$5:$B$40,0)),"?"))</f>
        <v/>
      </c>
      <c r="D116" s="4"/>
      <c r="E116" s="4"/>
      <c r="F116" s="4"/>
      <c r="G116" s="28"/>
      <c r="H116" s="29" t="str">
        <f aca="false">IF(A116="","",DATE(YEAR(A116),MONTH(A116),1))</f>
        <v/>
      </c>
    </row>
    <row r="117" customFormat="false" ht="15" hidden="false" customHeight="false" outlineLevel="0" collapsed="false">
      <c r="A117" s="26"/>
      <c r="B117" s="4"/>
      <c r="C117" s="27" t="str">
        <f aca="false">IF(B117="","",IFERROR(INDEX(Listas!$C$5:$C$40,MATCH(B117,Listas!$B$5:$B$40,0)),"?"))</f>
        <v/>
      </c>
      <c r="D117" s="4"/>
      <c r="E117" s="4"/>
      <c r="F117" s="4"/>
      <c r="G117" s="28"/>
      <c r="H117" s="29" t="str">
        <f aca="false">IF(A117="","",DATE(YEAR(A117),MONTH(A117),1))</f>
        <v/>
      </c>
    </row>
    <row r="118" customFormat="false" ht="15" hidden="false" customHeight="false" outlineLevel="0" collapsed="false">
      <c r="A118" s="26"/>
      <c r="B118" s="4"/>
      <c r="C118" s="27" t="str">
        <f aca="false">IF(B118="","",IFERROR(INDEX(Listas!$C$5:$C$40,MATCH(B118,Listas!$B$5:$B$40,0)),"?"))</f>
        <v/>
      </c>
      <c r="D118" s="4"/>
      <c r="E118" s="4"/>
      <c r="F118" s="4"/>
      <c r="G118" s="28"/>
      <c r="H118" s="29" t="str">
        <f aca="false">IF(A118="","",DATE(YEAR(A118),MONTH(A118),1))</f>
        <v/>
      </c>
    </row>
    <row r="119" customFormat="false" ht="15" hidden="false" customHeight="false" outlineLevel="0" collapsed="false">
      <c r="A119" s="26"/>
      <c r="B119" s="4"/>
      <c r="C119" s="27" t="str">
        <f aca="false">IF(B119="","",IFERROR(INDEX(Listas!$C$5:$C$40,MATCH(B119,Listas!$B$5:$B$40,0)),"?"))</f>
        <v/>
      </c>
      <c r="D119" s="4"/>
      <c r="E119" s="4"/>
      <c r="F119" s="4"/>
      <c r="G119" s="28"/>
      <c r="H119" s="29" t="str">
        <f aca="false">IF(A119="","",DATE(YEAR(A119),MONTH(A119),1))</f>
        <v/>
      </c>
    </row>
    <row r="120" customFormat="false" ht="15" hidden="false" customHeight="false" outlineLevel="0" collapsed="false">
      <c r="A120" s="26"/>
      <c r="B120" s="4"/>
      <c r="C120" s="27" t="str">
        <f aca="false">IF(B120="","",IFERROR(INDEX(Listas!$C$5:$C$40,MATCH(B120,Listas!$B$5:$B$40,0)),"?"))</f>
        <v/>
      </c>
      <c r="D120" s="4"/>
      <c r="E120" s="4"/>
      <c r="F120" s="4"/>
      <c r="G120" s="28"/>
      <c r="H120" s="29" t="str">
        <f aca="false">IF(A120="","",DATE(YEAR(A120),MONTH(A120),1))</f>
        <v/>
      </c>
    </row>
    <row r="121" customFormat="false" ht="15" hidden="false" customHeight="false" outlineLevel="0" collapsed="false">
      <c r="A121" s="26"/>
      <c r="B121" s="4"/>
      <c r="C121" s="27" t="str">
        <f aca="false">IF(B121="","",IFERROR(INDEX(Listas!$C$5:$C$40,MATCH(B121,Listas!$B$5:$B$40,0)),"?"))</f>
        <v/>
      </c>
      <c r="D121" s="4"/>
      <c r="E121" s="4"/>
      <c r="F121" s="4"/>
      <c r="G121" s="28"/>
      <c r="H121" s="29" t="str">
        <f aca="false">IF(A121="","",DATE(YEAR(A121),MONTH(A121),1))</f>
        <v/>
      </c>
    </row>
    <row r="122" customFormat="false" ht="15" hidden="false" customHeight="false" outlineLevel="0" collapsed="false">
      <c r="A122" s="26"/>
      <c r="B122" s="4"/>
      <c r="C122" s="27" t="str">
        <f aca="false">IF(B122="","",IFERROR(INDEX(Listas!$C$5:$C$40,MATCH(B122,Listas!$B$5:$B$40,0)),"?"))</f>
        <v/>
      </c>
      <c r="D122" s="4"/>
      <c r="E122" s="4"/>
      <c r="F122" s="4"/>
      <c r="G122" s="28"/>
      <c r="H122" s="29" t="str">
        <f aca="false">IF(A122="","",DATE(YEAR(A122),MONTH(A122),1))</f>
        <v/>
      </c>
    </row>
    <row r="123" customFormat="false" ht="15" hidden="false" customHeight="false" outlineLevel="0" collapsed="false">
      <c r="A123" s="26"/>
      <c r="B123" s="4"/>
      <c r="C123" s="27" t="str">
        <f aca="false">IF(B123="","",IFERROR(INDEX(Listas!$C$5:$C$40,MATCH(B123,Listas!$B$5:$B$40,0)),"?"))</f>
        <v/>
      </c>
      <c r="D123" s="4"/>
      <c r="E123" s="4"/>
      <c r="F123" s="4"/>
      <c r="G123" s="28"/>
      <c r="H123" s="29" t="str">
        <f aca="false">IF(A123="","",DATE(YEAR(A123),MONTH(A123),1))</f>
        <v/>
      </c>
    </row>
    <row r="124" customFormat="false" ht="15" hidden="false" customHeight="false" outlineLevel="0" collapsed="false">
      <c r="A124" s="26"/>
      <c r="B124" s="4"/>
      <c r="C124" s="27" t="str">
        <f aca="false">IF(B124="","",IFERROR(INDEX(Listas!$C$5:$C$40,MATCH(B124,Listas!$B$5:$B$40,0)),"?"))</f>
        <v/>
      </c>
      <c r="D124" s="4"/>
      <c r="E124" s="4"/>
      <c r="F124" s="4"/>
      <c r="G124" s="28"/>
      <c r="H124" s="29" t="str">
        <f aca="false">IF(A124="","",DATE(YEAR(A124),MONTH(A124),1))</f>
        <v/>
      </c>
    </row>
    <row r="125" customFormat="false" ht="15" hidden="false" customHeight="false" outlineLevel="0" collapsed="false">
      <c r="A125" s="26"/>
      <c r="B125" s="4"/>
      <c r="C125" s="27" t="str">
        <f aca="false">IF(B125="","",IFERROR(INDEX(Listas!$C$5:$C$40,MATCH(B125,Listas!$B$5:$B$40,0)),"?"))</f>
        <v/>
      </c>
      <c r="D125" s="4"/>
      <c r="E125" s="4"/>
      <c r="F125" s="4"/>
      <c r="G125" s="28"/>
      <c r="H125" s="29" t="str">
        <f aca="false">IF(A125="","",DATE(YEAR(A125),MONTH(A125),1))</f>
        <v/>
      </c>
    </row>
    <row r="126" customFormat="false" ht="15" hidden="false" customHeight="false" outlineLevel="0" collapsed="false">
      <c r="A126" s="26"/>
      <c r="B126" s="4"/>
      <c r="C126" s="27" t="str">
        <f aca="false">IF(B126="","",IFERROR(INDEX(Listas!$C$5:$C$40,MATCH(B126,Listas!$B$5:$B$40,0)),"?"))</f>
        <v/>
      </c>
      <c r="D126" s="4"/>
      <c r="E126" s="4"/>
      <c r="F126" s="4"/>
      <c r="G126" s="28"/>
      <c r="H126" s="29" t="str">
        <f aca="false">IF(A126="","",DATE(YEAR(A126),MONTH(A126),1))</f>
        <v/>
      </c>
    </row>
    <row r="127" customFormat="false" ht="15" hidden="false" customHeight="false" outlineLevel="0" collapsed="false">
      <c r="A127" s="26"/>
      <c r="B127" s="4"/>
      <c r="C127" s="27" t="str">
        <f aca="false">IF(B127="","",IFERROR(INDEX(Listas!$C$5:$C$40,MATCH(B127,Listas!$B$5:$B$40,0)),"?"))</f>
        <v/>
      </c>
      <c r="D127" s="4"/>
      <c r="E127" s="4"/>
      <c r="F127" s="4"/>
      <c r="G127" s="28"/>
      <c r="H127" s="29" t="str">
        <f aca="false">IF(A127="","",DATE(YEAR(A127),MONTH(A127),1))</f>
        <v/>
      </c>
    </row>
    <row r="128" customFormat="false" ht="15" hidden="false" customHeight="false" outlineLevel="0" collapsed="false">
      <c r="A128" s="26"/>
      <c r="B128" s="4"/>
      <c r="C128" s="27" t="str">
        <f aca="false">IF(B128="","",IFERROR(INDEX(Listas!$C$5:$C$40,MATCH(B128,Listas!$B$5:$B$40,0)),"?"))</f>
        <v/>
      </c>
      <c r="D128" s="4"/>
      <c r="E128" s="4"/>
      <c r="F128" s="4"/>
      <c r="G128" s="28"/>
      <c r="H128" s="29" t="str">
        <f aca="false">IF(A128="","",DATE(YEAR(A128),MONTH(A128),1))</f>
        <v/>
      </c>
    </row>
    <row r="129" customFormat="false" ht="15" hidden="false" customHeight="false" outlineLevel="0" collapsed="false">
      <c r="A129" s="26"/>
      <c r="B129" s="4"/>
      <c r="C129" s="27" t="str">
        <f aca="false">IF(B129="","",IFERROR(INDEX(Listas!$C$5:$C$40,MATCH(B129,Listas!$B$5:$B$40,0)),"?"))</f>
        <v/>
      </c>
      <c r="D129" s="4"/>
      <c r="E129" s="4"/>
      <c r="F129" s="4"/>
      <c r="G129" s="28"/>
      <c r="H129" s="29" t="str">
        <f aca="false">IF(A129="","",DATE(YEAR(A129),MONTH(A129),1))</f>
        <v/>
      </c>
    </row>
    <row r="130" customFormat="false" ht="15" hidden="false" customHeight="false" outlineLevel="0" collapsed="false">
      <c r="A130" s="26"/>
      <c r="B130" s="4"/>
      <c r="C130" s="27" t="str">
        <f aca="false">IF(B130="","",IFERROR(INDEX(Listas!$C$5:$C$40,MATCH(B130,Listas!$B$5:$B$40,0)),"?"))</f>
        <v/>
      </c>
      <c r="D130" s="4"/>
      <c r="E130" s="4"/>
      <c r="F130" s="4"/>
      <c r="G130" s="28"/>
      <c r="H130" s="29" t="str">
        <f aca="false">IF(A130="","",DATE(YEAR(A130),MONTH(A130),1))</f>
        <v/>
      </c>
    </row>
    <row r="131" customFormat="false" ht="15" hidden="false" customHeight="false" outlineLevel="0" collapsed="false">
      <c r="A131" s="26"/>
      <c r="B131" s="4"/>
      <c r="C131" s="27" t="str">
        <f aca="false">IF(B131="","",IFERROR(INDEX(Listas!$C$5:$C$40,MATCH(B131,Listas!$B$5:$B$40,0)),"?"))</f>
        <v/>
      </c>
      <c r="D131" s="4"/>
      <c r="E131" s="4"/>
      <c r="F131" s="4"/>
      <c r="G131" s="28"/>
      <c r="H131" s="29" t="str">
        <f aca="false">IF(A131="","",DATE(YEAR(A131),MONTH(A131),1))</f>
        <v/>
      </c>
    </row>
    <row r="132" customFormat="false" ht="15" hidden="false" customHeight="false" outlineLevel="0" collapsed="false">
      <c r="A132" s="26"/>
      <c r="B132" s="4"/>
      <c r="C132" s="27" t="str">
        <f aca="false">IF(B132="","",IFERROR(INDEX(Listas!$C$5:$C$40,MATCH(B132,Listas!$B$5:$B$40,0)),"?"))</f>
        <v/>
      </c>
      <c r="D132" s="4"/>
      <c r="E132" s="4"/>
      <c r="F132" s="4"/>
      <c r="G132" s="28"/>
      <c r="H132" s="29" t="str">
        <f aca="false">IF(A132="","",DATE(YEAR(A132),MONTH(A132),1))</f>
        <v/>
      </c>
    </row>
    <row r="133" customFormat="false" ht="15" hidden="false" customHeight="false" outlineLevel="0" collapsed="false">
      <c r="A133" s="26"/>
      <c r="B133" s="4"/>
      <c r="C133" s="27" t="str">
        <f aca="false">IF(B133="","",IFERROR(INDEX(Listas!$C$5:$C$40,MATCH(B133,Listas!$B$5:$B$40,0)),"?"))</f>
        <v/>
      </c>
      <c r="D133" s="4"/>
      <c r="E133" s="4"/>
      <c r="F133" s="4"/>
      <c r="G133" s="28"/>
      <c r="H133" s="29" t="str">
        <f aca="false">IF(A133="","",DATE(YEAR(A133),MONTH(A133),1))</f>
        <v/>
      </c>
    </row>
    <row r="134" customFormat="false" ht="15" hidden="false" customHeight="false" outlineLevel="0" collapsed="false">
      <c r="A134" s="26"/>
      <c r="B134" s="4"/>
      <c r="C134" s="27" t="str">
        <f aca="false">IF(B134="","",IFERROR(INDEX(Listas!$C$5:$C$40,MATCH(B134,Listas!$B$5:$B$40,0)),"?"))</f>
        <v/>
      </c>
      <c r="D134" s="4"/>
      <c r="E134" s="4"/>
      <c r="F134" s="4"/>
      <c r="G134" s="28"/>
      <c r="H134" s="29" t="str">
        <f aca="false">IF(A134="","",DATE(YEAR(A134),MONTH(A134),1))</f>
        <v/>
      </c>
    </row>
    <row r="135" customFormat="false" ht="15" hidden="false" customHeight="false" outlineLevel="0" collapsed="false">
      <c r="A135" s="26"/>
      <c r="B135" s="4"/>
      <c r="C135" s="27" t="str">
        <f aca="false">IF(B135="","",IFERROR(INDEX(Listas!$C$5:$C$40,MATCH(B135,Listas!$B$5:$B$40,0)),"?"))</f>
        <v/>
      </c>
      <c r="D135" s="4"/>
      <c r="E135" s="4"/>
      <c r="F135" s="4"/>
      <c r="G135" s="28"/>
      <c r="H135" s="29" t="str">
        <f aca="false">IF(A135="","",DATE(YEAR(A135),MONTH(A135),1))</f>
        <v/>
      </c>
    </row>
    <row r="136" customFormat="false" ht="15" hidden="false" customHeight="false" outlineLevel="0" collapsed="false">
      <c r="A136" s="26"/>
      <c r="B136" s="4"/>
      <c r="C136" s="27" t="str">
        <f aca="false">IF(B136="","",IFERROR(INDEX(Listas!$C$5:$C$40,MATCH(B136,Listas!$B$5:$B$40,0)),"?"))</f>
        <v/>
      </c>
      <c r="D136" s="4"/>
      <c r="E136" s="4"/>
      <c r="F136" s="4"/>
      <c r="G136" s="28"/>
      <c r="H136" s="29" t="str">
        <f aca="false">IF(A136="","",DATE(YEAR(A136),MONTH(A136),1))</f>
        <v/>
      </c>
    </row>
    <row r="137" customFormat="false" ht="15" hidden="false" customHeight="false" outlineLevel="0" collapsed="false">
      <c r="A137" s="26"/>
      <c r="B137" s="4"/>
      <c r="C137" s="27" t="str">
        <f aca="false">IF(B137="","",IFERROR(INDEX(Listas!$C$5:$C$40,MATCH(B137,Listas!$B$5:$B$40,0)),"?"))</f>
        <v/>
      </c>
      <c r="D137" s="4"/>
      <c r="E137" s="4"/>
      <c r="F137" s="4"/>
      <c r="G137" s="28"/>
      <c r="H137" s="29" t="str">
        <f aca="false">IF(A137="","",DATE(YEAR(A137),MONTH(A137),1))</f>
        <v/>
      </c>
    </row>
    <row r="138" customFormat="false" ht="15" hidden="false" customHeight="false" outlineLevel="0" collapsed="false">
      <c r="A138" s="26"/>
      <c r="B138" s="4"/>
      <c r="C138" s="27" t="str">
        <f aca="false">IF(B138="","",IFERROR(INDEX(Listas!$C$5:$C$40,MATCH(B138,Listas!$B$5:$B$40,0)),"?"))</f>
        <v/>
      </c>
      <c r="D138" s="4"/>
      <c r="E138" s="4"/>
      <c r="F138" s="4"/>
      <c r="G138" s="28"/>
      <c r="H138" s="29" t="str">
        <f aca="false">IF(A138="","",DATE(YEAR(A138),MONTH(A138),1))</f>
        <v/>
      </c>
    </row>
    <row r="139" customFormat="false" ht="15" hidden="false" customHeight="false" outlineLevel="0" collapsed="false">
      <c r="A139" s="26"/>
      <c r="B139" s="4"/>
      <c r="C139" s="27" t="str">
        <f aca="false">IF(B139="","",IFERROR(INDEX(Listas!$C$5:$C$40,MATCH(B139,Listas!$B$5:$B$40,0)),"?"))</f>
        <v/>
      </c>
      <c r="D139" s="4"/>
      <c r="E139" s="4"/>
      <c r="F139" s="4"/>
      <c r="G139" s="28"/>
      <c r="H139" s="29" t="str">
        <f aca="false">IF(A139="","",DATE(YEAR(A139),MONTH(A139),1))</f>
        <v/>
      </c>
    </row>
    <row r="140" customFormat="false" ht="15" hidden="false" customHeight="false" outlineLevel="0" collapsed="false">
      <c r="A140" s="26"/>
      <c r="B140" s="4"/>
      <c r="C140" s="27" t="str">
        <f aca="false">IF(B140="","",IFERROR(INDEX(Listas!$C$5:$C$40,MATCH(B140,Listas!$B$5:$B$40,0)),"?"))</f>
        <v/>
      </c>
      <c r="D140" s="4"/>
      <c r="E140" s="4"/>
      <c r="F140" s="4"/>
      <c r="G140" s="28"/>
      <c r="H140" s="29" t="str">
        <f aca="false">IF(A140="","",DATE(YEAR(A140),MONTH(A140),1))</f>
        <v/>
      </c>
    </row>
    <row r="141" customFormat="false" ht="15" hidden="false" customHeight="false" outlineLevel="0" collapsed="false">
      <c r="A141" s="26"/>
      <c r="B141" s="4"/>
      <c r="C141" s="27" t="str">
        <f aca="false">IF(B141="","",IFERROR(INDEX(Listas!$C$5:$C$40,MATCH(B141,Listas!$B$5:$B$40,0)),"?"))</f>
        <v/>
      </c>
      <c r="D141" s="4"/>
      <c r="E141" s="4"/>
      <c r="F141" s="4"/>
      <c r="G141" s="28"/>
      <c r="H141" s="29" t="str">
        <f aca="false">IF(A141="","",DATE(YEAR(A141),MONTH(A141),1))</f>
        <v/>
      </c>
    </row>
    <row r="142" customFormat="false" ht="15" hidden="false" customHeight="false" outlineLevel="0" collapsed="false">
      <c r="A142" s="26"/>
      <c r="B142" s="4"/>
      <c r="C142" s="27" t="str">
        <f aca="false">IF(B142="","",IFERROR(INDEX(Listas!$C$5:$C$40,MATCH(B142,Listas!$B$5:$B$40,0)),"?"))</f>
        <v/>
      </c>
      <c r="D142" s="4"/>
      <c r="E142" s="4"/>
      <c r="F142" s="4"/>
      <c r="G142" s="28"/>
      <c r="H142" s="29" t="str">
        <f aca="false">IF(A142="","",DATE(YEAR(A142),MONTH(A142),1))</f>
        <v/>
      </c>
    </row>
    <row r="143" customFormat="false" ht="15" hidden="false" customHeight="false" outlineLevel="0" collapsed="false">
      <c r="A143" s="26"/>
      <c r="B143" s="4"/>
      <c r="C143" s="27" t="str">
        <f aca="false">IF(B143="","",IFERROR(INDEX(Listas!$C$5:$C$40,MATCH(B143,Listas!$B$5:$B$40,0)),"?"))</f>
        <v/>
      </c>
      <c r="D143" s="4"/>
      <c r="E143" s="4"/>
      <c r="F143" s="4"/>
      <c r="G143" s="28"/>
      <c r="H143" s="29" t="str">
        <f aca="false">IF(A143="","",DATE(YEAR(A143),MONTH(A143),1))</f>
        <v/>
      </c>
    </row>
    <row r="144" customFormat="false" ht="15" hidden="false" customHeight="false" outlineLevel="0" collapsed="false">
      <c r="A144" s="26"/>
      <c r="B144" s="4"/>
      <c r="C144" s="27" t="str">
        <f aca="false">IF(B144="","",IFERROR(INDEX(Listas!$C$5:$C$40,MATCH(B144,Listas!$B$5:$B$40,0)),"?"))</f>
        <v/>
      </c>
      <c r="D144" s="4"/>
      <c r="E144" s="4"/>
      <c r="F144" s="4"/>
      <c r="G144" s="28"/>
      <c r="H144" s="29" t="str">
        <f aca="false">IF(A144="","",DATE(YEAR(A144),MONTH(A144),1))</f>
        <v/>
      </c>
    </row>
    <row r="145" customFormat="false" ht="15" hidden="false" customHeight="false" outlineLevel="0" collapsed="false">
      <c r="A145" s="26"/>
      <c r="B145" s="4"/>
      <c r="C145" s="27" t="str">
        <f aca="false">IF(B145="","",IFERROR(INDEX(Listas!$C$5:$C$40,MATCH(B145,Listas!$B$5:$B$40,0)),"?"))</f>
        <v/>
      </c>
      <c r="D145" s="4"/>
      <c r="E145" s="4"/>
      <c r="F145" s="4"/>
      <c r="G145" s="28"/>
      <c r="H145" s="29" t="str">
        <f aca="false">IF(A145="","",DATE(YEAR(A145),MONTH(A145),1))</f>
        <v/>
      </c>
    </row>
    <row r="146" customFormat="false" ht="15" hidden="false" customHeight="false" outlineLevel="0" collapsed="false">
      <c r="A146" s="26"/>
      <c r="B146" s="4"/>
      <c r="C146" s="27" t="str">
        <f aca="false">IF(B146="","",IFERROR(INDEX(Listas!$C$5:$C$40,MATCH(B146,Listas!$B$5:$B$40,0)),"?"))</f>
        <v/>
      </c>
      <c r="D146" s="4"/>
      <c r="E146" s="4"/>
      <c r="F146" s="4"/>
      <c r="G146" s="28"/>
      <c r="H146" s="29" t="str">
        <f aca="false">IF(A146="","",DATE(YEAR(A146),MONTH(A146),1))</f>
        <v/>
      </c>
    </row>
    <row r="147" customFormat="false" ht="15" hidden="false" customHeight="false" outlineLevel="0" collapsed="false">
      <c r="A147" s="26"/>
      <c r="B147" s="4"/>
      <c r="C147" s="27" t="str">
        <f aca="false">IF(B147="","",IFERROR(INDEX(Listas!$C$5:$C$40,MATCH(B147,Listas!$B$5:$B$40,0)),"?"))</f>
        <v/>
      </c>
      <c r="D147" s="4"/>
      <c r="E147" s="4"/>
      <c r="F147" s="4"/>
      <c r="G147" s="28"/>
      <c r="H147" s="29" t="str">
        <f aca="false">IF(A147="","",DATE(YEAR(A147),MONTH(A147),1))</f>
        <v/>
      </c>
    </row>
    <row r="148" customFormat="false" ht="15" hidden="false" customHeight="false" outlineLevel="0" collapsed="false">
      <c r="A148" s="26"/>
      <c r="B148" s="4"/>
      <c r="C148" s="27" t="str">
        <f aca="false">IF(B148="","",IFERROR(INDEX(Listas!$C$5:$C$40,MATCH(B148,Listas!$B$5:$B$40,0)),"?"))</f>
        <v/>
      </c>
      <c r="D148" s="4"/>
      <c r="E148" s="4"/>
      <c r="F148" s="4"/>
      <c r="G148" s="28"/>
      <c r="H148" s="29" t="str">
        <f aca="false">IF(A148="","",DATE(YEAR(A148),MONTH(A148),1))</f>
        <v/>
      </c>
    </row>
    <row r="149" customFormat="false" ht="15" hidden="false" customHeight="false" outlineLevel="0" collapsed="false">
      <c r="A149" s="26"/>
      <c r="B149" s="4"/>
      <c r="C149" s="27" t="str">
        <f aca="false">IF(B149="","",IFERROR(INDEX(Listas!$C$5:$C$40,MATCH(B149,Listas!$B$5:$B$40,0)),"?"))</f>
        <v/>
      </c>
      <c r="D149" s="4"/>
      <c r="E149" s="4"/>
      <c r="F149" s="4"/>
      <c r="G149" s="28"/>
      <c r="H149" s="29" t="str">
        <f aca="false">IF(A149="","",DATE(YEAR(A149),MONTH(A149),1))</f>
        <v/>
      </c>
    </row>
    <row r="150" customFormat="false" ht="15" hidden="false" customHeight="false" outlineLevel="0" collapsed="false">
      <c r="A150" s="26"/>
      <c r="B150" s="4"/>
      <c r="C150" s="27" t="str">
        <f aca="false">IF(B150="","",IFERROR(INDEX(Listas!$C$5:$C$40,MATCH(B150,Listas!$B$5:$B$40,0)),"?"))</f>
        <v/>
      </c>
      <c r="D150" s="4"/>
      <c r="E150" s="4"/>
      <c r="F150" s="4"/>
      <c r="G150" s="28"/>
      <c r="H150" s="29" t="str">
        <f aca="false">IF(A150="","",DATE(YEAR(A150),MONTH(A150),1))</f>
        <v/>
      </c>
    </row>
    <row r="151" customFormat="false" ht="15" hidden="false" customHeight="false" outlineLevel="0" collapsed="false">
      <c r="A151" s="26"/>
      <c r="B151" s="4"/>
      <c r="C151" s="27" t="str">
        <f aca="false">IF(B151="","",IFERROR(INDEX(Listas!$C$5:$C$40,MATCH(B151,Listas!$B$5:$B$40,0)),"?"))</f>
        <v/>
      </c>
      <c r="D151" s="4"/>
      <c r="E151" s="4"/>
      <c r="F151" s="4"/>
      <c r="G151" s="28"/>
      <c r="H151" s="29" t="str">
        <f aca="false">IF(A151="","",DATE(YEAR(A151),MONTH(A151),1))</f>
        <v/>
      </c>
    </row>
    <row r="152" customFormat="false" ht="15" hidden="false" customHeight="false" outlineLevel="0" collapsed="false">
      <c r="A152" s="26"/>
      <c r="B152" s="4"/>
      <c r="C152" s="27" t="str">
        <f aca="false">IF(B152="","",IFERROR(INDEX(Listas!$C$5:$C$40,MATCH(B152,Listas!$B$5:$B$40,0)),"?"))</f>
        <v/>
      </c>
      <c r="D152" s="4"/>
      <c r="E152" s="4"/>
      <c r="F152" s="4"/>
      <c r="G152" s="28"/>
      <c r="H152" s="29" t="str">
        <f aca="false">IF(A152="","",DATE(YEAR(A152),MONTH(A152),1))</f>
        <v/>
      </c>
    </row>
    <row r="153" customFormat="false" ht="15" hidden="false" customHeight="false" outlineLevel="0" collapsed="false">
      <c r="A153" s="26"/>
      <c r="B153" s="4"/>
      <c r="C153" s="27" t="str">
        <f aca="false">IF(B153="","",IFERROR(INDEX(Listas!$C$5:$C$40,MATCH(B153,Listas!$B$5:$B$40,0)),"?"))</f>
        <v/>
      </c>
      <c r="D153" s="4"/>
      <c r="E153" s="4"/>
      <c r="F153" s="4"/>
      <c r="G153" s="28"/>
      <c r="H153" s="29" t="str">
        <f aca="false">IF(A153="","",DATE(YEAR(A153),MONTH(A153),1))</f>
        <v/>
      </c>
    </row>
    <row r="154" customFormat="false" ht="15" hidden="false" customHeight="false" outlineLevel="0" collapsed="false">
      <c r="A154" s="26"/>
      <c r="B154" s="4"/>
      <c r="C154" s="27" t="str">
        <f aca="false">IF(B154="","",IFERROR(INDEX(Listas!$C$5:$C$40,MATCH(B154,Listas!$B$5:$B$40,0)),"?"))</f>
        <v/>
      </c>
      <c r="D154" s="4"/>
      <c r="E154" s="4"/>
      <c r="F154" s="4"/>
      <c r="G154" s="28"/>
      <c r="H154" s="29" t="str">
        <f aca="false">IF(A154="","",DATE(YEAR(A154),MONTH(A154),1))</f>
        <v/>
      </c>
    </row>
    <row r="155" customFormat="false" ht="15" hidden="false" customHeight="false" outlineLevel="0" collapsed="false">
      <c r="A155" s="26"/>
      <c r="B155" s="4"/>
      <c r="C155" s="27" t="str">
        <f aca="false">IF(B155="","",IFERROR(INDEX(Listas!$C$5:$C$40,MATCH(B155,Listas!$B$5:$B$40,0)),"?"))</f>
        <v/>
      </c>
      <c r="D155" s="4"/>
      <c r="E155" s="4"/>
      <c r="F155" s="4"/>
      <c r="G155" s="28"/>
      <c r="H155" s="29" t="str">
        <f aca="false">IF(A155="","",DATE(YEAR(A155),MONTH(A155),1))</f>
        <v/>
      </c>
    </row>
    <row r="156" customFormat="false" ht="15" hidden="false" customHeight="false" outlineLevel="0" collapsed="false">
      <c r="A156" s="26"/>
      <c r="B156" s="4"/>
      <c r="C156" s="27" t="str">
        <f aca="false">IF(B156="","",IFERROR(INDEX(Listas!$C$5:$C$40,MATCH(B156,Listas!$B$5:$B$40,0)),"?"))</f>
        <v/>
      </c>
      <c r="D156" s="4"/>
      <c r="E156" s="4"/>
      <c r="F156" s="4"/>
      <c r="G156" s="28"/>
      <c r="H156" s="29" t="str">
        <f aca="false">IF(A156="","",DATE(YEAR(A156),MONTH(A156),1))</f>
        <v/>
      </c>
    </row>
    <row r="157" customFormat="false" ht="15" hidden="false" customHeight="false" outlineLevel="0" collapsed="false">
      <c r="A157" s="26"/>
      <c r="B157" s="4"/>
      <c r="C157" s="27" t="str">
        <f aca="false">IF(B157="","",IFERROR(INDEX(Listas!$C$5:$C$40,MATCH(B157,Listas!$B$5:$B$40,0)),"?"))</f>
        <v/>
      </c>
      <c r="D157" s="4"/>
      <c r="E157" s="4"/>
      <c r="F157" s="4"/>
      <c r="G157" s="28"/>
      <c r="H157" s="29" t="str">
        <f aca="false">IF(A157="","",DATE(YEAR(A157),MONTH(A157),1))</f>
        <v/>
      </c>
    </row>
    <row r="158" customFormat="false" ht="15" hidden="false" customHeight="false" outlineLevel="0" collapsed="false">
      <c r="A158" s="26"/>
      <c r="B158" s="4"/>
      <c r="C158" s="27" t="str">
        <f aca="false">IF(B158="","",IFERROR(INDEX(Listas!$C$5:$C$40,MATCH(B158,Listas!$B$5:$B$40,0)),"?"))</f>
        <v/>
      </c>
      <c r="D158" s="4"/>
      <c r="E158" s="4"/>
      <c r="F158" s="4"/>
      <c r="G158" s="28"/>
      <c r="H158" s="29" t="str">
        <f aca="false">IF(A158="","",DATE(YEAR(A158),MONTH(A158),1))</f>
        <v/>
      </c>
    </row>
    <row r="159" customFormat="false" ht="15" hidden="false" customHeight="false" outlineLevel="0" collapsed="false">
      <c r="A159" s="26"/>
      <c r="B159" s="4"/>
      <c r="C159" s="27" t="str">
        <f aca="false">IF(B159="","",IFERROR(INDEX(Listas!$C$5:$C$40,MATCH(B159,Listas!$B$5:$B$40,0)),"?"))</f>
        <v/>
      </c>
      <c r="D159" s="4"/>
      <c r="E159" s="4"/>
      <c r="F159" s="4"/>
      <c r="G159" s="28"/>
      <c r="H159" s="29" t="str">
        <f aca="false">IF(A159="","",DATE(YEAR(A159),MONTH(A159),1))</f>
        <v/>
      </c>
    </row>
    <row r="160" customFormat="false" ht="15" hidden="false" customHeight="false" outlineLevel="0" collapsed="false">
      <c r="A160" s="26"/>
      <c r="B160" s="4"/>
      <c r="C160" s="27" t="str">
        <f aca="false">IF(B160="","",IFERROR(INDEX(Listas!$C$5:$C$40,MATCH(B160,Listas!$B$5:$B$40,0)),"?"))</f>
        <v/>
      </c>
      <c r="D160" s="4"/>
      <c r="E160" s="4"/>
      <c r="F160" s="4"/>
      <c r="G160" s="28"/>
      <c r="H160" s="29" t="str">
        <f aca="false">IF(A160="","",DATE(YEAR(A160),MONTH(A160),1))</f>
        <v/>
      </c>
    </row>
    <row r="161" customFormat="false" ht="15" hidden="false" customHeight="false" outlineLevel="0" collapsed="false">
      <c r="A161" s="26"/>
      <c r="B161" s="4"/>
      <c r="C161" s="27" t="str">
        <f aca="false">IF(B161="","",IFERROR(INDEX(Listas!$C$5:$C$40,MATCH(B161,Listas!$B$5:$B$40,0)),"?"))</f>
        <v/>
      </c>
      <c r="D161" s="4"/>
      <c r="E161" s="4"/>
      <c r="F161" s="4"/>
      <c r="G161" s="28"/>
      <c r="H161" s="29" t="str">
        <f aca="false">IF(A161="","",DATE(YEAR(A161),MONTH(A161),1))</f>
        <v/>
      </c>
    </row>
    <row r="162" customFormat="false" ht="15" hidden="false" customHeight="false" outlineLevel="0" collapsed="false">
      <c r="A162" s="26"/>
      <c r="B162" s="4"/>
      <c r="C162" s="27" t="str">
        <f aca="false">IF(B162="","",IFERROR(INDEX(Listas!$C$5:$C$40,MATCH(B162,Listas!$B$5:$B$40,0)),"?"))</f>
        <v/>
      </c>
      <c r="D162" s="4"/>
      <c r="E162" s="4"/>
      <c r="F162" s="4"/>
      <c r="G162" s="28"/>
      <c r="H162" s="29" t="str">
        <f aca="false">IF(A162="","",DATE(YEAR(A162),MONTH(A162),1))</f>
        <v/>
      </c>
    </row>
    <row r="163" customFormat="false" ht="15" hidden="false" customHeight="false" outlineLevel="0" collapsed="false">
      <c r="A163" s="26"/>
      <c r="B163" s="4"/>
      <c r="C163" s="27" t="str">
        <f aca="false">IF(B163="","",IFERROR(INDEX(Listas!$C$5:$C$40,MATCH(B163,Listas!$B$5:$B$40,0)),"?"))</f>
        <v/>
      </c>
      <c r="D163" s="4"/>
      <c r="E163" s="4"/>
      <c r="F163" s="4"/>
      <c r="G163" s="28"/>
      <c r="H163" s="29" t="str">
        <f aca="false">IF(A163="","",DATE(YEAR(A163),MONTH(A163),1))</f>
        <v/>
      </c>
    </row>
    <row r="164" customFormat="false" ht="15" hidden="false" customHeight="false" outlineLevel="0" collapsed="false">
      <c r="A164" s="26"/>
      <c r="B164" s="4"/>
      <c r="C164" s="27" t="str">
        <f aca="false">IF(B164="","",IFERROR(INDEX(Listas!$C$5:$C$40,MATCH(B164,Listas!$B$5:$B$40,0)),"?"))</f>
        <v/>
      </c>
      <c r="D164" s="4"/>
      <c r="E164" s="4"/>
      <c r="F164" s="4"/>
      <c r="G164" s="28"/>
      <c r="H164" s="29" t="str">
        <f aca="false">IF(A164="","",DATE(YEAR(A164),MONTH(A164),1))</f>
        <v/>
      </c>
    </row>
    <row r="165" customFormat="false" ht="15" hidden="false" customHeight="false" outlineLevel="0" collapsed="false">
      <c r="A165" s="26"/>
      <c r="B165" s="4"/>
      <c r="C165" s="27" t="str">
        <f aca="false">IF(B165="","",IFERROR(INDEX(Listas!$C$5:$C$40,MATCH(B165,Listas!$B$5:$B$40,0)),"?"))</f>
        <v/>
      </c>
      <c r="D165" s="4"/>
      <c r="E165" s="4"/>
      <c r="F165" s="4"/>
      <c r="G165" s="28"/>
      <c r="H165" s="29" t="str">
        <f aca="false">IF(A165="","",DATE(YEAR(A165),MONTH(A165),1))</f>
        <v/>
      </c>
    </row>
    <row r="166" customFormat="false" ht="15" hidden="false" customHeight="false" outlineLevel="0" collapsed="false">
      <c r="A166" s="26"/>
      <c r="B166" s="4"/>
      <c r="C166" s="27" t="str">
        <f aca="false">IF(B166="","",IFERROR(INDEX(Listas!$C$5:$C$40,MATCH(B166,Listas!$B$5:$B$40,0)),"?"))</f>
        <v/>
      </c>
      <c r="D166" s="4"/>
      <c r="E166" s="4"/>
      <c r="F166" s="4"/>
      <c r="G166" s="28"/>
      <c r="H166" s="29" t="str">
        <f aca="false">IF(A166="","",DATE(YEAR(A166),MONTH(A166),1))</f>
        <v/>
      </c>
    </row>
    <row r="167" customFormat="false" ht="15" hidden="false" customHeight="false" outlineLevel="0" collapsed="false">
      <c r="A167" s="26"/>
      <c r="B167" s="4"/>
      <c r="C167" s="27" t="str">
        <f aca="false">IF(B167="","",IFERROR(INDEX(Listas!$C$5:$C$40,MATCH(B167,Listas!$B$5:$B$40,0)),"?"))</f>
        <v/>
      </c>
      <c r="D167" s="4"/>
      <c r="E167" s="4"/>
      <c r="F167" s="4"/>
      <c r="G167" s="28"/>
      <c r="H167" s="29" t="str">
        <f aca="false">IF(A167="","",DATE(YEAR(A167),MONTH(A167),1))</f>
        <v/>
      </c>
    </row>
    <row r="168" customFormat="false" ht="15" hidden="false" customHeight="false" outlineLevel="0" collapsed="false">
      <c r="A168" s="26"/>
      <c r="B168" s="4"/>
      <c r="C168" s="27" t="str">
        <f aca="false">IF(B168="","",IFERROR(INDEX(Listas!$C$5:$C$40,MATCH(B168,Listas!$B$5:$B$40,0)),"?"))</f>
        <v/>
      </c>
      <c r="D168" s="4"/>
      <c r="E168" s="4"/>
      <c r="F168" s="4"/>
      <c r="G168" s="28"/>
      <c r="H168" s="29" t="str">
        <f aca="false">IF(A168="","",DATE(YEAR(A168),MONTH(A168),1))</f>
        <v/>
      </c>
    </row>
    <row r="169" customFormat="false" ht="15" hidden="false" customHeight="false" outlineLevel="0" collapsed="false">
      <c r="A169" s="26"/>
      <c r="B169" s="4"/>
      <c r="C169" s="27" t="str">
        <f aca="false">IF(B169="","",IFERROR(INDEX(Listas!$C$5:$C$40,MATCH(B169,Listas!$B$5:$B$40,0)),"?"))</f>
        <v/>
      </c>
      <c r="D169" s="4"/>
      <c r="E169" s="4"/>
      <c r="F169" s="4"/>
      <c r="G169" s="28"/>
      <c r="H169" s="29" t="str">
        <f aca="false">IF(A169="","",DATE(YEAR(A169),MONTH(A169),1))</f>
        <v/>
      </c>
    </row>
    <row r="170" customFormat="false" ht="15" hidden="false" customHeight="false" outlineLevel="0" collapsed="false">
      <c r="A170" s="26"/>
      <c r="B170" s="4"/>
      <c r="C170" s="27" t="str">
        <f aca="false">IF(B170="","",IFERROR(INDEX(Listas!$C$5:$C$40,MATCH(B170,Listas!$B$5:$B$40,0)),"?"))</f>
        <v/>
      </c>
      <c r="D170" s="4"/>
      <c r="E170" s="4"/>
      <c r="F170" s="4"/>
      <c r="G170" s="28"/>
      <c r="H170" s="29" t="str">
        <f aca="false">IF(A170="","",DATE(YEAR(A170),MONTH(A170),1))</f>
        <v/>
      </c>
    </row>
    <row r="171" customFormat="false" ht="15" hidden="false" customHeight="false" outlineLevel="0" collapsed="false">
      <c r="A171" s="26"/>
      <c r="B171" s="4"/>
      <c r="C171" s="27" t="str">
        <f aca="false">IF(B171="","",IFERROR(INDEX(Listas!$C$5:$C$40,MATCH(B171,Listas!$B$5:$B$40,0)),"?"))</f>
        <v/>
      </c>
      <c r="D171" s="4"/>
      <c r="E171" s="4"/>
      <c r="F171" s="4"/>
      <c r="G171" s="28"/>
      <c r="H171" s="29" t="str">
        <f aca="false">IF(A171="","",DATE(YEAR(A171),MONTH(A171),1))</f>
        <v/>
      </c>
    </row>
    <row r="172" customFormat="false" ht="15" hidden="false" customHeight="false" outlineLevel="0" collapsed="false">
      <c r="A172" s="26"/>
      <c r="B172" s="4"/>
      <c r="C172" s="27" t="str">
        <f aca="false">IF(B172="","",IFERROR(INDEX(Listas!$C$5:$C$40,MATCH(B172,Listas!$B$5:$B$40,0)),"?"))</f>
        <v/>
      </c>
      <c r="D172" s="4"/>
      <c r="E172" s="4"/>
      <c r="F172" s="4"/>
      <c r="G172" s="28"/>
      <c r="H172" s="29" t="str">
        <f aca="false">IF(A172="","",DATE(YEAR(A172),MONTH(A172),1))</f>
        <v/>
      </c>
    </row>
    <row r="173" customFormat="false" ht="15" hidden="false" customHeight="false" outlineLevel="0" collapsed="false">
      <c r="A173" s="26"/>
      <c r="B173" s="4"/>
      <c r="C173" s="27" t="str">
        <f aca="false">IF(B173="","",IFERROR(INDEX(Listas!$C$5:$C$40,MATCH(B173,Listas!$B$5:$B$40,0)),"?"))</f>
        <v/>
      </c>
      <c r="D173" s="4"/>
      <c r="E173" s="4"/>
      <c r="F173" s="4"/>
      <c r="G173" s="28"/>
      <c r="H173" s="29" t="str">
        <f aca="false">IF(A173="","",DATE(YEAR(A173),MONTH(A173),1))</f>
        <v/>
      </c>
    </row>
    <row r="174" customFormat="false" ht="15" hidden="false" customHeight="false" outlineLevel="0" collapsed="false">
      <c r="A174" s="26"/>
      <c r="B174" s="4"/>
      <c r="C174" s="27" t="str">
        <f aca="false">IF(B174="","",IFERROR(INDEX(Listas!$C$5:$C$40,MATCH(B174,Listas!$B$5:$B$40,0)),"?"))</f>
        <v/>
      </c>
      <c r="D174" s="4"/>
      <c r="E174" s="4"/>
      <c r="F174" s="4"/>
      <c r="G174" s="28"/>
      <c r="H174" s="29" t="str">
        <f aca="false">IF(A174="","",DATE(YEAR(A174),MONTH(A174),1))</f>
        <v/>
      </c>
    </row>
    <row r="175" customFormat="false" ht="15" hidden="false" customHeight="false" outlineLevel="0" collapsed="false">
      <c r="A175" s="26"/>
      <c r="B175" s="4"/>
      <c r="C175" s="27" t="str">
        <f aca="false">IF(B175="","",IFERROR(INDEX(Listas!$C$5:$C$40,MATCH(B175,Listas!$B$5:$B$40,0)),"?"))</f>
        <v/>
      </c>
      <c r="D175" s="4"/>
      <c r="E175" s="4"/>
      <c r="F175" s="4"/>
      <c r="G175" s="28"/>
      <c r="H175" s="29" t="str">
        <f aca="false">IF(A175="","",DATE(YEAR(A175),MONTH(A175),1))</f>
        <v/>
      </c>
    </row>
    <row r="176" customFormat="false" ht="15" hidden="false" customHeight="false" outlineLevel="0" collapsed="false">
      <c r="A176" s="26"/>
      <c r="B176" s="4"/>
      <c r="C176" s="27" t="str">
        <f aca="false">IF(B176="","",IFERROR(INDEX(Listas!$C$5:$C$40,MATCH(B176,Listas!$B$5:$B$40,0)),"?"))</f>
        <v/>
      </c>
      <c r="D176" s="4"/>
      <c r="E176" s="4"/>
      <c r="F176" s="4"/>
      <c r="G176" s="28"/>
      <c r="H176" s="29" t="str">
        <f aca="false">IF(A176="","",DATE(YEAR(A176),MONTH(A176),1))</f>
        <v/>
      </c>
    </row>
    <row r="177" customFormat="false" ht="15" hidden="false" customHeight="false" outlineLevel="0" collapsed="false">
      <c r="A177" s="26"/>
      <c r="B177" s="4"/>
      <c r="C177" s="27" t="str">
        <f aca="false">IF(B177="","",IFERROR(INDEX(Listas!$C$5:$C$40,MATCH(B177,Listas!$B$5:$B$40,0)),"?"))</f>
        <v/>
      </c>
      <c r="D177" s="4"/>
      <c r="E177" s="4"/>
      <c r="F177" s="4"/>
      <c r="G177" s="28"/>
      <c r="H177" s="29" t="str">
        <f aca="false">IF(A177="","",DATE(YEAR(A177),MONTH(A177),1))</f>
        <v/>
      </c>
    </row>
    <row r="178" customFormat="false" ht="15" hidden="false" customHeight="false" outlineLevel="0" collapsed="false">
      <c r="A178" s="26"/>
      <c r="B178" s="4"/>
      <c r="C178" s="27" t="str">
        <f aca="false">IF(B178="","",IFERROR(INDEX(Listas!$C$5:$C$40,MATCH(B178,Listas!$B$5:$B$40,0)),"?"))</f>
        <v/>
      </c>
      <c r="D178" s="4"/>
      <c r="E178" s="4"/>
      <c r="F178" s="4"/>
      <c r="G178" s="28"/>
      <c r="H178" s="29" t="str">
        <f aca="false">IF(A178="","",DATE(YEAR(A178),MONTH(A178),1))</f>
        <v/>
      </c>
    </row>
    <row r="179" customFormat="false" ht="15" hidden="false" customHeight="false" outlineLevel="0" collapsed="false">
      <c r="A179" s="26"/>
      <c r="B179" s="4"/>
      <c r="C179" s="27" t="str">
        <f aca="false">IF(B179="","",IFERROR(INDEX(Listas!$C$5:$C$40,MATCH(B179,Listas!$B$5:$B$40,0)),"?"))</f>
        <v/>
      </c>
      <c r="D179" s="4"/>
      <c r="E179" s="4"/>
      <c r="F179" s="4"/>
      <c r="G179" s="28"/>
      <c r="H179" s="29" t="str">
        <f aca="false">IF(A179="","",DATE(YEAR(A179),MONTH(A179),1))</f>
        <v/>
      </c>
    </row>
    <row r="180" customFormat="false" ht="15" hidden="false" customHeight="false" outlineLevel="0" collapsed="false">
      <c r="A180" s="26"/>
      <c r="B180" s="4"/>
      <c r="C180" s="27" t="str">
        <f aca="false">IF(B180="","",IFERROR(INDEX(Listas!$C$5:$C$40,MATCH(B180,Listas!$B$5:$B$40,0)),"?"))</f>
        <v/>
      </c>
      <c r="D180" s="4"/>
      <c r="E180" s="4"/>
      <c r="F180" s="4"/>
      <c r="G180" s="28"/>
      <c r="H180" s="29" t="str">
        <f aca="false">IF(A180="","",DATE(YEAR(A180),MONTH(A180),1))</f>
        <v/>
      </c>
    </row>
    <row r="181" customFormat="false" ht="15" hidden="false" customHeight="false" outlineLevel="0" collapsed="false">
      <c r="A181" s="26"/>
      <c r="B181" s="4"/>
      <c r="C181" s="27" t="str">
        <f aca="false">IF(B181="","",IFERROR(INDEX(Listas!$C$5:$C$40,MATCH(B181,Listas!$B$5:$B$40,0)),"?"))</f>
        <v/>
      </c>
      <c r="D181" s="4"/>
      <c r="E181" s="4"/>
      <c r="F181" s="4"/>
      <c r="G181" s="28"/>
      <c r="H181" s="29" t="str">
        <f aca="false">IF(A181="","",DATE(YEAR(A181),MONTH(A181),1))</f>
        <v/>
      </c>
    </row>
    <row r="182" customFormat="false" ht="15" hidden="false" customHeight="false" outlineLevel="0" collapsed="false">
      <c r="A182" s="26"/>
      <c r="B182" s="4"/>
      <c r="C182" s="27" t="str">
        <f aca="false">IF(B182="","",IFERROR(INDEX(Listas!$C$5:$C$40,MATCH(B182,Listas!$B$5:$B$40,0)),"?"))</f>
        <v/>
      </c>
      <c r="D182" s="4"/>
      <c r="E182" s="4"/>
      <c r="F182" s="4"/>
      <c r="G182" s="28"/>
      <c r="H182" s="29" t="str">
        <f aca="false">IF(A182="","",DATE(YEAR(A182),MONTH(A182),1))</f>
        <v/>
      </c>
    </row>
    <row r="183" customFormat="false" ht="15" hidden="false" customHeight="false" outlineLevel="0" collapsed="false">
      <c r="A183" s="26"/>
      <c r="B183" s="4"/>
      <c r="C183" s="27" t="str">
        <f aca="false">IF(B183="","",IFERROR(INDEX(Listas!$C$5:$C$40,MATCH(B183,Listas!$B$5:$B$40,0)),"?"))</f>
        <v/>
      </c>
      <c r="D183" s="4"/>
      <c r="E183" s="4"/>
      <c r="F183" s="4"/>
      <c r="G183" s="28"/>
      <c r="H183" s="29" t="str">
        <f aca="false">IF(A183="","",DATE(YEAR(A183),MONTH(A183),1))</f>
        <v/>
      </c>
    </row>
    <row r="184" customFormat="false" ht="15" hidden="false" customHeight="false" outlineLevel="0" collapsed="false">
      <c r="A184" s="26"/>
      <c r="B184" s="4"/>
      <c r="C184" s="27" t="str">
        <f aca="false">IF(B184="","",IFERROR(INDEX(Listas!$C$5:$C$40,MATCH(B184,Listas!$B$5:$B$40,0)),"?"))</f>
        <v/>
      </c>
      <c r="D184" s="4"/>
      <c r="E184" s="4"/>
      <c r="F184" s="4"/>
      <c r="G184" s="28"/>
      <c r="H184" s="29" t="str">
        <f aca="false">IF(A184="","",DATE(YEAR(A184),MONTH(A184),1))</f>
        <v/>
      </c>
    </row>
    <row r="185" customFormat="false" ht="15" hidden="false" customHeight="false" outlineLevel="0" collapsed="false">
      <c r="A185" s="26"/>
      <c r="B185" s="4"/>
      <c r="C185" s="27" t="str">
        <f aca="false">IF(B185="","",IFERROR(INDEX(Listas!$C$5:$C$40,MATCH(B185,Listas!$B$5:$B$40,0)),"?"))</f>
        <v/>
      </c>
      <c r="D185" s="4"/>
      <c r="E185" s="4"/>
      <c r="F185" s="4"/>
      <c r="G185" s="28"/>
      <c r="H185" s="29" t="str">
        <f aca="false">IF(A185="","",DATE(YEAR(A185),MONTH(A185),1))</f>
        <v/>
      </c>
    </row>
    <row r="186" customFormat="false" ht="15" hidden="false" customHeight="false" outlineLevel="0" collapsed="false">
      <c r="A186" s="26"/>
      <c r="B186" s="4"/>
      <c r="C186" s="27" t="str">
        <f aca="false">IF(B186="","",IFERROR(INDEX(Listas!$C$5:$C$40,MATCH(B186,Listas!$B$5:$B$40,0)),"?"))</f>
        <v/>
      </c>
      <c r="D186" s="4"/>
      <c r="E186" s="4"/>
      <c r="F186" s="4"/>
      <c r="G186" s="28"/>
      <c r="H186" s="29" t="str">
        <f aca="false">IF(A186="","",DATE(YEAR(A186),MONTH(A186),1))</f>
        <v/>
      </c>
    </row>
    <row r="187" customFormat="false" ht="15" hidden="false" customHeight="false" outlineLevel="0" collapsed="false">
      <c r="A187" s="26"/>
      <c r="B187" s="4"/>
      <c r="C187" s="27" t="str">
        <f aca="false">IF(B187="","",IFERROR(INDEX(Listas!$C$5:$C$40,MATCH(B187,Listas!$B$5:$B$40,0)),"?"))</f>
        <v/>
      </c>
      <c r="D187" s="4"/>
      <c r="E187" s="4"/>
      <c r="F187" s="4"/>
      <c r="G187" s="28"/>
      <c r="H187" s="29" t="str">
        <f aca="false">IF(A187="","",DATE(YEAR(A187),MONTH(A187),1))</f>
        <v/>
      </c>
    </row>
    <row r="188" customFormat="false" ht="15" hidden="false" customHeight="false" outlineLevel="0" collapsed="false">
      <c r="A188" s="26"/>
      <c r="B188" s="4"/>
      <c r="C188" s="27" t="str">
        <f aca="false">IF(B188="","",IFERROR(INDEX(Listas!$C$5:$C$40,MATCH(B188,Listas!$B$5:$B$40,0)),"?"))</f>
        <v/>
      </c>
      <c r="D188" s="4"/>
      <c r="E188" s="4"/>
      <c r="F188" s="4"/>
      <c r="G188" s="28"/>
      <c r="H188" s="29" t="str">
        <f aca="false">IF(A188="","",DATE(YEAR(A188),MONTH(A188),1))</f>
        <v/>
      </c>
    </row>
    <row r="189" customFormat="false" ht="15" hidden="false" customHeight="false" outlineLevel="0" collapsed="false">
      <c r="A189" s="26"/>
      <c r="B189" s="4"/>
      <c r="C189" s="27" t="str">
        <f aca="false">IF(B189="","",IFERROR(INDEX(Listas!$C$5:$C$40,MATCH(B189,Listas!$B$5:$B$40,0)),"?"))</f>
        <v/>
      </c>
      <c r="D189" s="4"/>
      <c r="E189" s="4"/>
      <c r="F189" s="4"/>
      <c r="G189" s="28"/>
      <c r="H189" s="29" t="str">
        <f aca="false">IF(A189="","",DATE(YEAR(A189),MONTH(A189),1))</f>
        <v/>
      </c>
    </row>
    <row r="190" customFormat="false" ht="15" hidden="false" customHeight="false" outlineLevel="0" collapsed="false">
      <c r="A190" s="26"/>
      <c r="B190" s="4"/>
      <c r="C190" s="27" t="str">
        <f aca="false">IF(B190="","",IFERROR(INDEX(Listas!$C$5:$C$40,MATCH(B190,Listas!$B$5:$B$40,0)),"?"))</f>
        <v/>
      </c>
      <c r="D190" s="4"/>
      <c r="E190" s="4"/>
      <c r="F190" s="4"/>
      <c r="G190" s="28"/>
      <c r="H190" s="29" t="str">
        <f aca="false">IF(A190="","",DATE(YEAR(A190),MONTH(A190),1))</f>
        <v/>
      </c>
    </row>
    <row r="191" customFormat="false" ht="15" hidden="false" customHeight="false" outlineLevel="0" collapsed="false">
      <c r="A191" s="26"/>
      <c r="B191" s="4"/>
      <c r="C191" s="27" t="str">
        <f aca="false">IF(B191="","",IFERROR(INDEX(Listas!$C$5:$C$40,MATCH(B191,Listas!$B$5:$B$40,0)),"?"))</f>
        <v/>
      </c>
      <c r="D191" s="4"/>
      <c r="E191" s="4"/>
      <c r="F191" s="4"/>
      <c r="G191" s="28"/>
      <c r="H191" s="29" t="str">
        <f aca="false">IF(A191="","",DATE(YEAR(A191),MONTH(A191),1))</f>
        <v/>
      </c>
    </row>
    <row r="192" customFormat="false" ht="15" hidden="false" customHeight="false" outlineLevel="0" collapsed="false">
      <c r="A192" s="26"/>
      <c r="B192" s="4"/>
      <c r="C192" s="27" t="str">
        <f aca="false">IF(B192="","",IFERROR(INDEX(Listas!$C$5:$C$40,MATCH(B192,Listas!$B$5:$B$40,0)),"?"))</f>
        <v/>
      </c>
      <c r="D192" s="4"/>
      <c r="E192" s="4"/>
      <c r="F192" s="4"/>
      <c r="G192" s="28"/>
      <c r="H192" s="29" t="str">
        <f aca="false">IF(A192="","",DATE(YEAR(A192),MONTH(A192),1))</f>
        <v/>
      </c>
    </row>
    <row r="193" customFormat="false" ht="15" hidden="false" customHeight="false" outlineLevel="0" collapsed="false">
      <c r="A193" s="26"/>
      <c r="B193" s="4"/>
      <c r="C193" s="27" t="str">
        <f aca="false">IF(B193="","",IFERROR(INDEX(Listas!$C$5:$C$40,MATCH(B193,Listas!$B$5:$B$40,0)),"?"))</f>
        <v/>
      </c>
      <c r="D193" s="4"/>
      <c r="E193" s="4"/>
      <c r="F193" s="4"/>
      <c r="G193" s="28"/>
      <c r="H193" s="29" t="str">
        <f aca="false">IF(A193="","",DATE(YEAR(A193),MONTH(A193),1))</f>
        <v/>
      </c>
    </row>
    <row r="194" customFormat="false" ht="15" hidden="false" customHeight="false" outlineLevel="0" collapsed="false">
      <c r="A194" s="26"/>
      <c r="B194" s="4"/>
      <c r="C194" s="27" t="str">
        <f aca="false">IF(B194="","",IFERROR(INDEX(Listas!$C$5:$C$40,MATCH(B194,Listas!$B$5:$B$40,0)),"?"))</f>
        <v/>
      </c>
      <c r="D194" s="4"/>
      <c r="E194" s="4"/>
      <c r="F194" s="4"/>
      <c r="G194" s="28"/>
      <c r="H194" s="29" t="str">
        <f aca="false">IF(A194="","",DATE(YEAR(A194),MONTH(A194),1))</f>
        <v/>
      </c>
    </row>
    <row r="195" customFormat="false" ht="15" hidden="false" customHeight="false" outlineLevel="0" collapsed="false">
      <c r="A195" s="26"/>
      <c r="B195" s="4"/>
      <c r="C195" s="27" t="str">
        <f aca="false">IF(B195="","",IFERROR(INDEX(Listas!$C$5:$C$40,MATCH(B195,Listas!$B$5:$B$40,0)),"?"))</f>
        <v/>
      </c>
      <c r="D195" s="4"/>
      <c r="E195" s="4"/>
      <c r="F195" s="4"/>
      <c r="G195" s="28"/>
      <c r="H195" s="29" t="str">
        <f aca="false">IF(A195="","",DATE(YEAR(A195),MONTH(A195),1))</f>
        <v/>
      </c>
    </row>
    <row r="196" customFormat="false" ht="15" hidden="false" customHeight="false" outlineLevel="0" collapsed="false">
      <c r="A196" s="26"/>
      <c r="B196" s="4"/>
      <c r="C196" s="27" t="str">
        <f aca="false">IF(B196="","",IFERROR(INDEX(Listas!$C$5:$C$40,MATCH(B196,Listas!$B$5:$B$40,0)),"?"))</f>
        <v/>
      </c>
      <c r="D196" s="4"/>
      <c r="E196" s="4"/>
      <c r="F196" s="4"/>
      <c r="G196" s="28"/>
      <c r="H196" s="29" t="str">
        <f aca="false">IF(A196="","",DATE(YEAR(A196),MONTH(A196),1))</f>
        <v/>
      </c>
    </row>
    <row r="197" customFormat="false" ht="15" hidden="false" customHeight="false" outlineLevel="0" collapsed="false">
      <c r="A197" s="26"/>
      <c r="B197" s="4"/>
      <c r="C197" s="27" t="str">
        <f aca="false">IF(B197="","",IFERROR(INDEX(Listas!$C$5:$C$40,MATCH(B197,Listas!$B$5:$B$40,0)),"?"))</f>
        <v/>
      </c>
      <c r="D197" s="4"/>
      <c r="E197" s="4"/>
      <c r="F197" s="4"/>
      <c r="G197" s="28"/>
      <c r="H197" s="29" t="str">
        <f aca="false">IF(A197="","",DATE(YEAR(A197),MONTH(A197),1))</f>
        <v/>
      </c>
    </row>
    <row r="198" customFormat="false" ht="15" hidden="false" customHeight="false" outlineLevel="0" collapsed="false">
      <c r="A198" s="26"/>
      <c r="B198" s="4"/>
      <c r="C198" s="27" t="str">
        <f aca="false">IF(B198="","",IFERROR(INDEX(Listas!$C$5:$C$40,MATCH(B198,Listas!$B$5:$B$40,0)),"?"))</f>
        <v/>
      </c>
      <c r="D198" s="4"/>
      <c r="E198" s="4"/>
      <c r="F198" s="4"/>
      <c r="G198" s="28"/>
      <c r="H198" s="29" t="str">
        <f aca="false">IF(A198="","",DATE(YEAR(A198),MONTH(A198),1))</f>
        <v/>
      </c>
    </row>
    <row r="199" customFormat="false" ht="15" hidden="false" customHeight="false" outlineLevel="0" collapsed="false">
      <c r="A199" s="26"/>
      <c r="B199" s="4"/>
      <c r="C199" s="27" t="str">
        <f aca="false">IF(B199="","",IFERROR(INDEX(Listas!$C$5:$C$40,MATCH(B199,Listas!$B$5:$B$40,0)),"?"))</f>
        <v/>
      </c>
      <c r="D199" s="4"/>
      <c r="E199" s="4"/>
      <c r="F199" s="4"/>
      <c r="G199" s="28"/>
      <c r="H199" s="29" t="str">
        <f aca="false">IF(A199="","",DATE(YEAR(A199),MONTH(A199),1))</f>
        <v/>
      </c>
    </row>
    <row r="200" customFormat="false" ht="15" hidden="false" customHeight="false" outlineLevel="0" collapsed="false">
      <c r="A200" s="26"/>
      <c r="B200" s="4"/>
      <c r="C200" s="27" t="str">
        <f aca="false">IF(B200="","",IFERROR(INDEX(Listas!$C$5:$C$40,MATCH(B200,Listas!$B$5:$B$40,0)),"?"))</f>
        <v/>
      </c>
      <c r="D200" s="4"/>
      <c r="E200" s="4"/>
      <c r="F200" s="4"/>
      <c r="G200" s="28"/>
      <c r="H200" s="29" t="str">
        <f aca="false">IF(A200="","",DATE(YEAR(A200),MONTH(A200),1))</f>
        <v/>
      </c>
    </row>
    <row r="201" customFormat="false" ht="15" hidden="false" customHeight="false" outlineLevel="0" collapsed="false">
      <c r="A201" s="26"/>
      <c r="B201" s="4"/>
      <c r="C201" s="27" t="str">
        <f aca="false">IF(B201="","",IFERROR(INDEX(Listas!$C$5:$C$40,MATCH(B201,Listas!$B$5:$B$40,0)),"?"))</f>
        <v/>
      </c>
      <c r="D201" s="4"/>
      <c r="E201" s="4"/>
      <c r="F201" s="4"/>
      <c r="G201" s="28"/>
      <c r="H201" s="29" t="str">
        <f aca="false">IF(A201="","",DATE(YEAR(A201),MONTH(A201),1))</f>
        <v/>
      </c>
    </row>
    <row r="202" customFormat="false" ht="15" hidden="false" customHeight="false" outlineLevel="0" collapsed="false">
      <c r="A202" s="26"/>
      <c r="B202" s="4"/>
      <c r="C202" s="27" t="str">
        <f aca="false">IF(B202="","",IFERROR(INDEX(Listas!$C$5:$C$40,MATCH(B202,Listas!$B$5:$B$40,0)),"?"))</f>
        <v/>
      </c>
      <c r="D202" s="4"/>
      <c r="E202" s="4"/>
      <c r="F202" s="4"/>
      <c r="G202" s="28"/>
      <c r="H202" s="29" t="str">
        <f aca="false">IF(A202="","",DATE(YEAR(A202),MONTH(A202),1))</f>
        <v/>
      </c>
    </row>
    <row r="203" customFormat="false" ht="15" hidden="false" customHeight="false" outlineLevel="0" collapsed="false">
      <c r="A203" s="26"/>
      <c r="B203" s="4"/>
      <c r="C203" s="27" t="str">
        <f aca="false">IF(B203="","",IFERROR(INDEX(Listas!$C$5:$C$40,MATCH(B203,Listas!$B$5:$B$40,0)),"?"))</f>
        <v/>
      </c>
      <c r="D203" s="4"/>
      <c r="E203" s="4"/>
      <c r="F203" s="4"/>
      <c r="G203" s="28"/>
      <c r="H203" s="29" t="str">
        <f aca="false">IF(A203="","",DATE(YEAR(A203),MONTH(A203),1))</f>
        <v/>
      </c>
    </row>
    <row r="204" customFormat="false" ht="15" hidden="false" customHeight="false" outlineLevel="0" collapsed="false">
      <c r="A204" s="26"/>
      <c r="B204" s="4"/>
      <c r="C204" s="27" t="str">
        <f aca="false">IF(B204="","",IFERROR(INDEX(Listas!$C$5:$C$40,MATCH(B204,Listas!$B$5:$B$40,0)),"?"))</f>
        <v/>
      </c>
      <c r="D204" s="4"/>
      <c r="E204" s="4"/>
      <c r="F204" s="4"/>
      <c r="G204" s="28"/>
      <c r="H204" s="29" t="str">
        <f aca="false">IF(A204="","",DATE(YEAR(A204),MONTH(A204),1))</f>
        <v/>
      </c>
    </row>
    <row r="205" customFormat="false" ht="15" hidden="false" customHeight="false" outlineLevel="0" collapsed="false">
      <c r="A205" s="26"/>
      <c r="B205" s="4"/>
      <c r="C205" s="27" t="str">
        <f aca="false">IF(B205="","",IFERROR(INDEX(Listas!$C$5:$C$40,MATCH(B205,Listas!$B$5:$B$40,0)),"?"))</f>
        <v/>
      </c>
      <c r="D205" s="4"/>
      <c r="E205" s="4"/>
      <c r="F205" s="4"/>
      <c r="G205" s="28"/>
      <c r="H205" s="29" t="str">
        <f aca="false">IF(A205="","",DATE(YEAR(A205),MONTH(A205),1))</f>
        <v/>
      </c>
    </row>
    <row r="206" customFormat="false" ht="15" hidden="false" customHeight="false" outlineLevel="0" collapsed="false">
      <c r="A206" s="26"/>
      <c r="B206" s="4"/>
      <c r="C206" s="27" t="str">
        <f aca="false">IF(B206="","",IFERROR(INDEX(Listas!$C$5:$C$40,MATCH(B206,Listas!$B$5:$B$40,0)),"?"))</f>
        <v/>
      </c>
      <c r="D206" s="4"/>
      <c r="E206" s="4"/>
      <c r="F206" s="4"/>
      <c r="G206" s="28"/>
      <c r="H206" s="29" t="str">
        <f aca="false">IF(A206="","",DATE(YEAR(A206),MONTH(A206),1))</f>
        <v/>
      </c>
    </row>
    <row r="207" customFormat="false" ht="15" hidden="false" customHeight="false" outlineLevel="0" collapsed="false">
      <c r="A207" s="26"/>
      <c r="B207" s="4"/>
      <c r="C207" s="27" t="str">
        <f aca="false">IF(B207="","",IFERROR(INDEX(Listas!$C$5:$C$40,MATCH(B207,Listas!$B$5:$B$40,0)),"?"))</f>
        <v/>
      </c>
      <c r="D207" s="4"/>
      <c r="E207" s="4"/>
      <c r="F207" s="4"/>
      <c r="G207" s="28"/>
      <c r="H207" s="29" t="str">
        <f aca="false">IF(A207="","",DATE(YEAR(A207),MONTH(A207),1))</f>
        <v/>
      </c>
    </row>
    <row r="208" customFormat="false" ht="15" hidden="false" customHeight="false" outlineLevel="0" collapsed="false">
      <c r="A208" s="26"/>
      <c r="B208" s="4"/>
      <c r="C208" s="27" t="str">
        <f aca="false">IF(B208="","",IFERROR(INDEX(Listas!$C$5:$C$40,MATCH(B208,Listas!$B$5:$B$40,0)),"?"))</f>
        <v/>
      </c>
      <c r="D208" s="4"/>
      <c r="E208" s="4"/>
      <c r="F208" s="4"/>
      <c r="G208" s="28"/>
      <c r="H208" s="29" t="str">
        <f aca="false">IF(A208="","",DATE(YEAR(A208),MONTH(A208),1))</f>
        <v/>
      </c>
    </row>
    <row r="209" customFormat="false" ht="15" hidden="false" customHeight="false" outlineLevel="0" collapsed="false">
      <c r="A209" s="26"/>
      <c r="B209" s="4"/>
      <c r="C209" s="27" t="str">
        <f aca="false">IF(B209="","",IFERROR(INDEX(Listas!$C$5:$C$40,MATCH(B209,Listas!$B$5:$B$40,0)),"?"))</f>
        <v/>
      </c>
      <c r="D209" s="4"/>
      <c r="E209" s="4"/>
      <c r="F209" s="4"/>
      <c r="G209" s="28"/>
      <c r="H209" s="29" t="str">
        <f aca="false">IF(A209="","",DATE(YEAR(A209),MONTH(A209),1))</f>
        <v/>
      </c>
    </row>
    <row r="210" customFormat="false" ht="15" hidden="false" customHeight="false" outlineLevel="0" collapsed="false">
      <c r="A210" s="26"/>
      <c r="B210" s="4"/>
      <c r="C210" s="27" t="str">
        <f aca="false">IF(B210="","",IFERROR(INDEX(Listas!$C$5:$C$40,MATCH(B210,Listas!$B$5:$B$40,0)),"?"))</f>
        <v/>
      </c>
      <c r="D210" s="4"/>
      <c r="E210" s="4"/>
      <c r="F210" s="4"/>
      <c r="G210" s="28"/>
      <c r="H210" s="29" t="str">
        <f aca="false">IF(A210="","",DATE(YEAR(A210),MONTH(A210),1))</f>
        <v/>
      </c>
    </row>
    <row r="211" customFormat="false" ht="15" hidden="false" customHeight="false" outlineLevel="0" collapsed="false">
      <c r="A211" s="26"/>
      <c r="B211" s="4"/>
      <c r="C211" s="27" t="str">
        <f aca="false">IF(B211="","",IFERROR(INDEX(Listas!$C$5:$C$40,MATCH(B211,Listas!$B$5:$B$40,0)),"?"))</f>
        <v/>
      </c>
      <c r="D211" s="4"/>
      <c r="E211" s="4"/>
      <c r="F211" s="4"/>
      <c r="G211" s="28"/>
      <c r="H211" s="29" t="str">
        <f aca="false">IF(A211="","",DATE(YEAR(A211),MONTH(A211),1))</f>
        <v/>
      </c>
    </row>
    <row r="212" customFormat="false" ht="15" hidden="false" customHeight="false" outlineLevel="0" collapsed="false">
      <c r="A212" s="26"/>
      <c r="B212" s="4"/>
      <c r="C212" s="27" t="str">
        <f aca="false">IF(B212="","",IFERROR(INDEX(Listas!$C$5:$C$40,MATCH(B212,Listas!$B$5:$B$40,0)),"?"))</f>
        <v/>
      </c>
      <c r="D212" s="4"/>
      <c r="E212" s="4"/>
      <c r="F212" s="4"/>
      <c r="G212" s="28"/>
      <c r="H212" s="29" t="str">
        <f aca="false">IF(A212="","",DATE(YEAR(A212),MONTH(A212),1))</f>
        <v/>
      </c>
    </row>
    <row r="213" customFormat="false" ht="15" hidden="false" customHeight="false" outlineLevel="0" collapsed="false">
      <c r="A213" s="26"/>
      <c r="B213" s="4"/>
      <c r="C213" s="27" t="str">
        <f aca="false">IF(B213="","",IFERROR(INDEX(Listas!$C$5:$C$40,MATCH(B213,Listas!$B$5:$B$40,0)),"?"))</f>
        <v/>
      </c>
      <c r="D213" s="4"/>
      <c r="E213" s="4"/>
      <c r="F213" s="4"/>
      <c r="G213" s="28"/>
      <c r="H213" s="29" t="str">
        <f aca="false">IF(A213="","",DATE(YEAR(A213),MONTH(A213),1))</f>
        <v/>
      </c>
    </row>
    <row r="214" customFormat="false" ht="15" hidden="false" customHeight="false" outlineLevel="0" collapsed="false">
      <c r="A214" s="26"/>
      <c r="B214" s="4"/>
      <c r="C214" s="27" t="str">
        <f aca="false">IF(B214="","",IFERROR(INDEX(Listas!$C$5:$C$40,MATCH(B214,Listas!$B$5:$B$40,0)),"?"))</f>
        <v/>
      </c>
      <c r="D214" s="4"/>
      <c r="E214" s="4"/>
      <c r="F214" s="4"/>
      <c r="G214" s="28"/>
      <c r="H214" s="29" t="str">
        <f aca="false">IF(A214="","",DATE(YEAR(A214),MONTH(A214),1))</f>
        <v/>
      </c>
    </row>
    <row r="215" customFormat="false" ht="15" hidden="false" customHeight="false" outlineLevel="0" collapsed="false">
      <c r="A215" s="26"/>
      <c r="B215" s="4"/>
      <c r="C215" s="27" t="str">
        <f aca="false">IF(B215="","",IFERROR(INDEX(Listas!$C$5:$C$40,MATCH(B215,Listas!$B$5:$B$40,0)),"?"))</f>
        <v/>
      </c>
      <c r="D215" s="4"/>
      <c r="E215" s="4"/>
      <c r="F215" s="4"/>
      <c r="G215" s="28"/>
      <c r="H215" s="29" t="str">
        <f aca="false">IF(A215="","",DATE(YEAR(A215),MONTH(A215),1))</f>
        <v/>
      </c>
    </row>
    <row r="216" customFormat="false" ht="15" hidden="false" customHeight="false" outlineLevel="0" collapsed="false">
      <c r="A216" s="26"/>
      <c r="B216" s="4"/>
      <c r="C216" s="27" t="str">
        <f aca="false">IF(B216="","",IFERROR(INDEX(Listas!$C$5:$C$40,MATCH(B216,Listas!$B$5:$B$40,0)),"?"))</f>
        <v/>
      </c>
      <c r="D216" s="4"/>
      <c r="E216" s="4"/>
      <c r="F216" s="4"/>
      <c r="G216" s="28"/>
      <c r="H216" s="29" t="str">
        <f aca="false">IF(A216="","",DATE(YEAR(A216),MONTH(A216),1))</f>
        <v/>
      </c>
    </row>
    <row r="217" customFormat="false" ht="15" hidden="false" customHeight="false" outlineLevel="0" collapsed="false">
      <c r="A217" s="26"/>
      <c r="B217" s="4"/>
      <c r="C217" s="27" t="str">
        <f aca="false">IF(B217="","",IFERROR(INDEX(Listas!$C$5:$C$40,MATCH(B217,Listas!$B$5:$B$40,0)),"?"))</f>
        <v/>
      </c>
      <c r="D217" s="4"/>
      <c r="E217" s="4"/>
      <c r="F217" s="4"/>
      <c r="G217" s="28"/>
      <c r="H217" s="29" t="str">
        <f aca="false">IF(A217="","",DATE(YEAR(A217),MONTH(A217),1))</f>
        <v/>
      </c>
    </row>
    <row r="218" customFormat="false" ht="15" hidden="false" customHeight="false" outlineLevel="0" collapsed="false">
      <c r="A218" s="26"/>
      <c r="B218" s="4"/>
      <c r="C218" s="27" t="str">
        <f aca="false">IF(B218="","",IFERROR(INDEX(Listas!$C$5:$C$40,MATCH(B218,Listas!$B$5:$B$40,0)),"?"))</f>
        <v/>
      </c>
      <c r="D218" s="4"/>
      <c r="E218" s="4"/>
      <c r="F218" s="4"/>
      <c r="G218" s="28"/>
      <c r="H218" s="29" t="str">
        <f aca="false">IF(A218="","",DATE(YEAR(A218),MONTH(A218),1))</f>
        <v/>
      </c>
    </row>
    <row r="219" customFormat="false" ht="15" hidden="false" customHeight="false" outlineLevel="0" collapsed="false">
      <c r="A219" s="26"/>
      <c r="B219" s="4"/>
      <c r="C219" s="27" t="str">
        <f aca="false">IF(B219="","",IFERROR(INDEX(Listas!$C$5:$C$40,MATCH(B219,Listas!$B$5:$B$40,0)),"?"))</f>
        <v/>
      </c>
      <c r="D219" s="4"/>
      <c r="E219" s="4"/>
      <c r="F219" s="4"/>
      <c r="G219" s="28"/>
      <c r="H219" s="29" t="str">
        <f aca="false">IF(A219="","",DATE(YEAR(A219),MONTH(A219),1))</f>
        <v/>
      </c>
    </row>
    <row r="220" customFormat="false" ht="15" hidden="false" customHeight="false" outlineLevel="0" collapsed="false">
      <c r="A220" s="26"/>
      <c r="B220" s="4"/>
      <c r="C220" s="27" t="str">
        <f aca="false">IF(B220="","",IFERROR(INDEX(Listas!$C$5:$C$40,MATCH(B220,Listas!$B$5:$B$40,0)),"?"))</f>
        <v/>
      </c>
      <c r="D220" s="4"/>
      <c r="E220" s="4"/>
      <c r="F220" s="4"/>
      <c r="G220" s="28"/>
      <c r="H220" s="29" t="str">
        <f aca="false">IF(A220="","",DATE(YEAR(A220),MONTH(A220),1))</f>
        <v/>
      </c>
    </row>
    <row r="221" customFormat="false" ht="15" hidden="false" customHeight="false" outlineLevel="0" collapsed="false">
      <c r="A221" s="26"/>
      <c r="B221" s="4"/>
      <c r="C221" s="27" t="str">
        <f aca="false">IF(B221="","",IFERROR(INDEX(Listas!$C$5:$C$40,MATCH(B221,Listas!$B$5:$B$40,0)),"?"))</f>
        <v/>
      </c>
      <c r="D221" s="4"/>
      <c r="E221" s="4"/>
      <c r="F221" s="4"/>
      <c r="G221" s="28"/>
      <c r="H221" s="29" t="str">
        <f aca="false">IF(A221="","",DATE(YEAR(A221),MONTH(A221),1))</f>
        <v/>
      </c>
    </row>
    <row r="222" customFormat="false" ht="15" hidden="false" customHeight="false" outlineLevel="0" collapsed="false">
      <c r="A222" s="26"/>
      <c r="B222" s="4"/>
      <c r="C222" s="27" t="str">
        <f aca="false">IF(B222="","",IFERROR(INDEX(Listas!$C$5:$C$40,MATCH(B222,Listas!$B$5:$B$40,0)),"?"))</f>
        <v/>
      </c>
      <c r="D222" s="4"/>
      <c r="E222" s="4"/>
      <c r="F222" s="4"/>
      <c r="G222" s="28"/>
      <c r="H222" s="29" t="str">
        <f aca="false">IF(A222="","",DATE(YEAR(A222),MONTH(A222),1))</f>
        <v/>
      </c>
    </row>
    <row r="223" customFormat="false" ht="15" hidden="false" customHeight="false" outlineLevel="0" collapsed="false">
      <c r="A223" s="26"/>
      <c r="B223" s="4"/>
      <c r="C223" s="27" t="str">
        <f aca="false">IF(B223="","",IFERROR(INDEX(Listas!$C$5:$C$40,MATCH(B223,Listas!$B$5:$B$40,0)),"?"))</f>
        <v/>
      </c>
      <c r="D223" s="4"/>
      <c r="E223" s="4"/>
      <c r="F223" s="4"/>
      <c r="G223" s="28"/>
      <c r="H223" s="29" t="str">
        <f aca="false">IF(A223="","",DATE(YEAR(A223),MONTH(A223),1))</f>
        <v/>
      </c>
    </row>
    <row r="224" customFormat="false" ht="15" hidden="false" customHeight="false" outlineLevel="0" collapsed="false">
      <c r="A224" s="26"/>
      <c r="B224" s="4"/>
      <c r="C224" s="27" t="str">
        <f aca="false">IF(B224="","",IFERROR(INDEX(Listas!$C$5:$C$40,MATCH(B224,Listas!$B$5:$B$40,0)),"?"))</f>
        <v/>
      </c>
      <c r="D224" s="4"/>
      <c r="E224" s="4"/>
      <c r="F224" s="4"/>
      <c r="G224" s="28"/>
      <c r="H224" s="29" t="str">
        <f aca="false">IF(A224="","",DATE(YEAR(A224),MONTH(A224),1))</f>
        <v/>
      </c>
    </row>
    <row r="225" customFormat="false" ht="15" hidden="false" customHeight="false" outlineLevel="0" collapsed="false">
      <c r="A225" s="26"/>
      <c r="B225" s="4"/>
      <c r="C225" s="27" t="str">
        <f aca="false">IF(B225="","",IFERROR(INDEX(Listas!$C$5:$C$40,MATCH(B225,Listas!$B$5:$B$40,0)),"?"))</f>
        <v/>
      </c>
      <c r="D225" s="4"/>
      <c r="E225" s="4"/>
      <c r="F225" s="4"/>
      <c r="G225" s="28"/>
      <c r="H225" s="29" t="str">
        <f aca="false">IF(A225="","",DATE(YEAR(A225),MONTH(A225),1))</f>
        <v/>
      </c>
    </row>
    <row r="226" customFormat="false" ht="15" hidden="false" customHeight="false" outlineLevel="0" collapsed="false">
      <c r="A226" s="26"/>
      <c r="B226" s="4"/>
      <c r="C226" s="27" t="str">
        <f aca="false">IF(B226="","",IFERROR(INDEX(Listas!$C$5:$C$40,MATCH(B226,Listas!$B$5:$B$40,0)),"?"))</f>
        <v/>
      </c>
      <c r="D226" s="4"/>
      <c r="E226" s="4"/>
      <c r="F226" s="4"/>
      <c r="G226" s="28"/>
      <c r="H226" s="29" t="str">
        <f aca="false">IF(A226="","",DATE(YEAR(A226),MONTH(A226),1))</f>
        <v/>
      </c>
    </row>
    <row r="227" customFormat="false" ht="15" hidden="false" customHeight="false" outlineLevel="0" collapsed="false">
      <c r="A227" s="26"/>
      <c r="B227" s="4"/>
      <c r="C227" s="27" t="str">
        <f aca="false">IF(B227="","",IFERROR(INDEX(Listas!$C$5:$C$40,MATCH(B227,Listas!$B$5:$B$40,0)),"?"))</f>
        <v/>
      </c>
      <c r="D227" s="4"/>
      <c r="E227" s="4"/>
      <c r="F227" s="4"/>
      <c r="G227" s="28"/>
      <c r="H227" s="29" t="str">
        <f aca="false">IF(A227="","",DATE(YEAR(A227),MONTH(A227),1))</f>
        <v/>
      </c>
    </row>
    <row r="228" customFormat="false" ht="15" hidden="false" customHeight="false" outlineLevel="0" collapsed="false">
      <c r="A228" s="26"/>
      <c r="B228" s="4"/>
      <c r="C228" s="27" t="str">
        <f aca="false">IF(B228="","",IFERROR(INDEX(Listas!$C$5:$C$40,MATCH(B228,Listas!$B$5:$B$40,0)),"?"))</f>
        <v/>
      </c>
      <c r="D228" s="4"/>
      <c r="E228" s="4"/>
      <c r="F228" s="4"/>
      <c r="G228" s="28"/>
      <c r="H228" s="29" t="str">
        <f aca="false">IF(A228="","",DATE(YEAR(A228),MONTH(A228),1))</f>
        <v/>
      </c>
    </row>
    <row r="229" customFormat="false" ht="15" hidden="false" customHeight="false" outlineLevel="0" collapsed="false">
      <c r="A229" s="26"/>
      <c r="B229" s="4"/>
      <c r="C229" s="27" t="str">
        <f aca="false">IF(B229="","",IFERROR(INDEX(Listas!$C$5:$C$40,MATCH(B229,Listas!$B$5:$B$40,0)),"?"))</f>
        <v/>
      </c>
      <c r="D229" s="4"/>
      <c r="E229" s="4"/>
      <c r="F229" s="4"/>
      <c r="G229" s="28"/>
      <c r="H229" s="29" t="str">
        <f aca="false">IF(A229="","",DATE(YEAR(A229),MONTH(A229),1))</f>
        <v/>
      </c>
    </row>
    <row r="230" customFormat="false" ht="15" hidden="false" customHeight="false" outlineLevel="0" collapsed="false">
      <c r="A230" s="26"/>
      <c r="B230" s="4"/>
      <c r="C230" s="27" t="str">
        <f aca="false">IF(B230="","",IFERROR(INDEX(Listas!$C$5:$C$40,MATCH(B230,Listas!$B$5:$B$40,0)),"?"))</f>
        <v/>
      </c>
      <c r="D230" s="4"/>
      <c r="E230" s="4"/>
      <c r="F230" s="4"/>
      <c r="G230" s="28"/>
      <c r="H230" s="29" t="str">
        <f aca="false">IF(A230="","",DATE(YEAR(A230),MONTH(A230),1))</f>
        <v/>
      </c>
    </row>
    <row r="231" customFormat="false" ht="15" hidden="false" customHeight="false" outlineLevel="0" collapsed="false">
      <c r="A231" s="26"/>
      <c r="B231" s="4"/>
      <c r="C231" s="27" t="str">
        <f aca="false">IF(B231="","",IFERROR(INDEX(Listas!$C$5:$C$40,MATCH(B231,Listas!$B$5:$B$40,0)),"?"))</f>
        <v/>
      </c>
      <c r="D231" s="4"/>
      <c r="E231" s="4"/>
      <c r="F231" s="4"/>
      <c r="G231" s="28"/>
      <c r="H231" s="29" t="str">
        <f aca="false">IF(A231="","",DATE(YEAR(A231),MONTH(A231),1))</f>
        <v/>
      </c>
    </row>
    <row r="232" customFormat="false" ht="15" hidden="false" customHeight="false" outlineLevel="0" collapsed="false">
      <c r="A232" s="26"/>
      <c r="B232" s="4"/>
      <c r="C232" s="27" t="str">
        <f aca="false">IF(B232="","",IFERROR(INDEX(Listas!$C$5:$C$40,MATCH(B232,Listas!$B$5:$B$40,0)),"?"))</f>
        <v/>
      </c>
      <c r="D232" s="4"/>
      <c r="E232" s="4"/>
      <c r="F232" s="4"/>
      <c r="G232" s="28"/>
      <c r="H232" s="29" t="str">
        <f aca="false">IF(A232="","",DATE(YEAR(A232),MONTH(A232),1))</f>
        <v/>
      </c>
    </row>
    <row r="233" customFormat="false" ht="15" hidden="false" customHeight="false" outlineLevel="0" collapsed="false">
      <c r="A233" s="26"/>
      <c r="B233" s="4"/>
      <c r="C233" s="27" t="str">
        <f aca="false">IF(B233="","",IFERROR(INDEX(Listas!$C$5:$C$40,MATCH(B233,Listas!$B$5:$B$40,0)),"?"))</f>
        <v/>
      </c>
      <c r="D233" s="4"/>
      <c r="E233" s="4"/>
      <c r="F233" s="4"/>
      <c r="G233" s="28"/>
      <c r="H233" s="29" t="str">
        <f aca="false">IF(A233="","",DATE(YEAR(A233),MONTH(A233),1))</f>
        <v/>
      </c>
    </row>
    <row r="234" customFormat="false" ht="15" hidden="false" customHeight="false" outlineLevel="0" collapsed="false">
      <c r="A234" s="26"/>
      <c r="B234" s="4"/>
      <c r="C234" s="27" t="str">
        <f aca="false">IF(B234="","",IFERROR(INDEX(Listas!$C$5:$C$40,MATCH(B234,Listas!$B$5:$B$40,0)),"?"))</f>
        <v/>
      </c>
      <c r="D234" s="4"/>
      <c r="E234" s="4"/>
      <c r="F234" s="4"/>
      <c r="G234" s="28"/>
      <c r="H234" s="29" t="str">
        <f aca="false">IF(A234="","",DATE(YEAR(A234),MONTH(A234),1))</f>
        <v/>
      </c>
    </row>
    <row r="235" customFormat="false" ht="15" hidden="false" customHeight="false" outlineLevel="0" collapsed="false">
      <c r="A235" s="26"/>
      <c r="B235" s="4"/>
      <c r="C235" s="27" t="str">
        <f aca="false">IF(B235="","",IFERROR(INDEX(Listas!$C$5:$C$40,MATCH(B235,Listas!$B$5:$B$40,0)),"?"))</f>
        <v/>
      </c>
      <c r="D235" s="4"/>
      <c r="E235" s="4"/>
      <c r="F235" s="4"/>
      <c r="G235" s="28"/>
      <c r="H235" s="29" t="str">
        <f aca="false">IF(A235="","",DATE(YEAR(A235),MONTH(A235),1))</f>
        <v/>
      </c>
    </row>
    <row r="236" customFormat="false" ht="15" hidden="false" customHeight="false" outlineLevel="0" collapsed="false">
      <c r="A236" s="26"/>
      <c r="B236" s="4"/>
      <c r="C236" s="27" t="str">
        <f aca="false">IF(B236="","",IFERROR(INDEX(Listas!$C$5:$C$40,MATCH(B236,Listas!$B$5:$B$40,0)),"?"))</f>
        <v/>
      </c>
      <c r="D236" s="4"/>
      <c r="E236" s="4"/>
      <c r="F236" s="4"/>
      <c r="G236" s="28"/>
      <c r="H236" s="29" t="str">
        <f aca="false">IF(A236="","",DATE(YEAR(A236),MONTH(A236),1))</f>
        <v/>
      </c>
    </row>
    <row r="237" customFormat="false" ht="15" hidden="false" customHeight="false" outlineLevel="0" collapsed="false">
      <c r="A237" s="26"/>
      <c r="B237" s="4"/>
      <c r="C237" s="27" t="str">
        <f aca="false">IF(B237="","",IFERROR(INDEX(Listas!$C$5:$C$40,MATCH(B237,Listas!$B$5:$B$40,0)),"?"))</f>
        <v/>
      </c>
      <c r="D237" s="4"/>
      <c r="E237" s="4"/>
      <c r="F237" s="4"/>
      <c r="G237" s="28"/>
      <c r="H237" s="29" t="str">
        <f aca="false">IF(A237="","",DATE(YEAR(A237),MONTH(A237),1))</f>
        <v/>
      </c>
    </row>
    <row r="238" customFormat="false" ht="15" hidden="false" customHeight="false" outlineLevel="0" collapsed="false">
      <c r="A238" s="26"/>
      <c r="B238" s="4"/>
      <c r="C238" s="27" t="str">
        <f aca="false">IF(B238="","",IFERROR(INDEX(Listas!$C$5:$C$40,MATCH(B238,Listas!$B$5:$B$40,0)),"?"))</f>
        <v/>
      </c>
      <c r="D238" s="4"/>
      <c r="E238" s="4"/>
      <c r="F238" s="4"/>
      <c r="G238" s="28"/>
      <c r="H238" s="29" t="str">
        <f aca="false">IF(A238="","",DATE(YEAR(A238),MONTH(A238),1))</f>
        <v/>
      </c>
    </row>
    <row r="239" customFormat="false" ht="15" hidden="false" customHeight="false" outlineLevel="0" collapsed="false">
      <c r="A239" s="26"/>
      <c r="B239" s="4"/>
      <c r="C239" s="27" t="str">
        <f aca="false">IF(B239="","",IFERROR(INDEX(Listas!$C$5:$C$40,MATCH(B239,Listas!$B$5:$B$40,0)),"?"))</f>
        <v/>
      </c>
      <c r="D239" s="4"/>
      <c r="E239" s="4"/>
      <c r="F239" s="4"/>
      <c r="G239" s="28"/>
      <c r="H239" s="29" t="str">
        <f aca="false">IF(A239="","",DATE(YEAR(A239),MONTH(A239),1))</f>
        <v/>
      </c>
    </row>
    <row r="240" customFormat="false" ht="15" hidden="false" customHeight="false" outlineLevel="0" collapsed="false">
      <c r="A240" s="26"/>
      <c r="B240" s="4"/>
      <c r="C240" s="27" t="str">
        <f aca="false">IF(B240="","",IFERROR(INDEX(Listas!$C$5:$C$40,MATCH(B240,Listas!$B$5:$B$40,0)),"?"))</f>
        <v/>
      </c>
      <c r="D240" s="4"/>
      <c r="E240" s="4"/>
      <c r="F240" s="4"/>
      <c r="G240" s="28"/>
      <c r="H240" s="29" t="str">
        <f aca="false">IF(A240="","",DATE(YEAR(A240),MONTH(A240),1))</f>
        <v/>
      </c>
    </row>
    <row r="241" customFormat="false" ht="15" hidden="false" customHeight="false" outlineLevel="0" collapsed="false">
      <c r="A241" s="26"/>
      <c r="B241" s="4"/>
      <c r="C241" s="27" t="str">
        <f aca="false">IF(B241="","",IFERROR(INDEX(Listas!$C$5:$C$40,MATCH(B241,Listas!$B$5:$B$40,0)),"?"))</f>
        <v/>
      </c>
      <c r="D241" s="4"/>
      <c r="E241" s="4"/>
      <c r="F241" s="4"/>
      <c r="G241" s="28"/>
      <c r="H241" s="29" t="str">
        <f aca="false">IF(A241="","",DATE(YEAR(A241),MONTH(A241),1))</f>
        <v/>
      </c>
    </row>
    <row r="242" customFormat="false" ht="15" hidden="false" customHeight="false" outlineLevel="0" collapsed="false">
      <c r="A242" s="26"/>
      <c r="B242" s="4"/>
      <c r="C242" s="27" t="str">
        <f aca="false">IF(B242="","",IFERROR(INDEX(Listas!$C$5:$C$40,MATCH(B242,Listas!$B$5:$B$40,0)),"?"))</f>
        <v/>
      </c>
      <c r="D242" s="4"/>
      <c r="E242" s="4"/>
      <c r="F242" s="4"/>
      <c r="G242" s="28"/>
      <c r="H242" s="29" t="str">
        <f aca="false">IF(A242="","",DATE(YEAR(A242),MONTH(A242),1))</f>
        <v/>
      </c>
    </row>
    <row r="243" customFormat="false" ht="15" hidden="false" customHeight="false" outlineLevel="0" collapsed="false">
      <c r="A243" s="26"/>
      <c r="B243" s="4"/>
      <c r="C243" s="27" t="str">
        <f aca="false">IF(B243="","",IFERROR(INDEX(Listas!$C$5:$C$40,MATCH(B243,Listas!$B$5:$B$40,0)),"?"))</f>
        <v/>
      </c>
      <c r="D243" s="4"/>
      <c r="E243" s="4"/>
      <c r="F243" s="4"/>
      <c r="G243" s="28"/>
      <c r="H243" s="29" t="str">
        <f aca="false">IF(A243="","",DATE(YEAR(A243),MONTH(A243),1))</f>
        <v/>
      </c>
    </row>
    <row r="244" customFormat="false" ht="15" hidden="false" customHeight="false" outlineLevel="0" collapsed="false">
      <c r="A244" s="26"/>
      <c r="B244" s="4"/>
      <c r="C244" s="27" t="str">
        <f aca="false">IF(B244="","",IFERROR(INDEX(Listas!$C$5:$C$40,MATCH(B244,Listas!$B$5:$B$40,0)),"?"))</f>
        <v/>
      </c>
      <c r="D244" s="4"/>
      <c r="E244" s="4"/>
      <c r="F244" s="4"/>
      <c r="G244" s="28"/>
      <c r="H244" s="29" t="str">
        <f aca="false">IF(A244="","",DATE(YEAR(A244),MONTH(A244),1))</f>
        <v/>
      </c>
    </row>
    <row r="245" customFormat="false" ht="15" hidden="false" customHeight="false" outlineLevel="0" collapsed="false">
      <c r="A245" s="26"/>
      <c r="B245" s="4"/>
      <c r="C245" s="27" t="str">
        <f aca="false">IF(B245="","",IFERROR(INDEX(Listas!$C$5:$C$40,MATCH(B245,Listas!$B$5:$B$40,0)),"?"))</f>
        <v/>
      </c>
      <c r="D245" s="4"/>
      <c r="E245" s="4"/>
      <c r="F245" s="4"/>
      <c r="G245" s="28"/>
      <c r="H245" s="29" t="str">
        <f aca="false">IF(A245="","",DATE(YEAR(A245),MONTH(A245),1))</f>
        <v/>
      </c>
    </row>
    <row r="246" customFormat="false" ht="15" hidden="false" customHeight="false" outlineLevel="0" collapsed="false">
      <c r="A246" s="26"/>
      <c r="B246" s="4"/>
      <c r="C246" s="27" t="str">
        <f aca="false">IF(B246="","",IFERROR(INDEX(Listas!$C$5:$C$40,MATCH(B246,Listas!$B$5:$B$40,0)),"?"))</f>
        <v/>
      </c>
      <c r="D246" s="4"/>
      <c r="E246" s="4"/>
      <c r="F246" s="4"/>
      <c r="G246" s="28"/>
      <c r="H246" s="29" t="str">
        <f aca="false">IF(A246="","",DATE(YEAR(A246),MONTH(A246),1))</f>
        <v/>
      </c>
    </row>
    <row r="247" customFormat="false" ht="15" hidden="false" customHeight="false" outlineLevel="0" collapsed="false">
      <c r="A247" s="26"/>
      <c r="B247" s="4"/>
      <c r="C247" s="27" t="str">
        <f aca="false">IF(B247="","",IFERROR(INDEX(Listas!$C$5:$C$40,MATCH(B247,Listas!$B$5:$B$40,0)),"?"))</f>
        <v/>
      </c>
      <c r="D247" s="4"/>
      <c r="E247" s="4"/>
      <c r="F247" s="4"/>
      <c r="G247" s="28"/>
      <c r="H247" s="29" t="str">
        <f aca="false">IF(A247="","",DATE(YEAR(A247),MONTH(A247),1))</f>
        <v/>
      </c>
    </row>
    <row r="248" customFormat="false" ht="15" hidden="false" customHeight="false" outlineLevel="0" collapsed="false">
      <c r="A248" s="26"/>
      <c r="B248" s="4"/>
      <c r="C248" s="27" t="str">
        <f aca="false">IF(B248="","",IFERROR(INDEX(Listas!$C$5:$C$40,MATCH(B248,Listas!$B$5:$B$40,0)),"?"))</f>
        <v/>
      </c>
      <c r="D248" s="4"/>
      <c r="E248" s="4"/>
      <c r="F248" s="4"/>
      <c r="G248" s="28"/>
      <c r="H248" s="29" t="str">
        <f aca="false">IF(A248="","",DATE(YEAR(A248),MONTH(A248),1))</f>
        <v/>
      </c>
    </row>
    <row r="249" customFormat="false" ht="15" hidden="false" customHeight="false" outlineLevel="0" collapsed="false">
      <c r="A249" s="26"/>
      <c r="B249" s="4"/>
      <c r="C249" s="27" t="str">
        <f aca="false">IF(B249="","",IFERROR(INDEX(Listas!$C$5:$C$40,MATCH(B249,Listas!$B$5:$B$40,0)),"?"))</f>
        <v/>
      </c>
      <c r="D249" s="4"/>
      <c r="E249" s="4"/>
      <c r="F249" s="4"/>
      <c r="G249" s="28"/>
      <c r="H249" s="29" t="str">
        <f aca="false">IF(A249="","",DATE(YEAR(A249),MONTH(A249),1))</f>
        <v/>
      </c>
    </row>
    <row r="250" customFormat="false" ht="15" hidden="false" customHeight="false" outlineLevel="0" collapsed="false">
      <c r="A250" s="26"/>
      <c r="B250" s="4"/>
      <c r="C250" s="27" t="str">
        <f aca="false">IF(B250="","",IFERROR(INDEX(Listas!$C$5:$C$40,MATCH(B250,Listas!$B$5:$B$40,0)),"?"))</f>
        <v/>
      </c>
      <c r="D250" s="4"/>
      <c r="E250" s="4"/>
      <c r="F250" s="4"/>
      <c r="G250" s="28"/>
      <c r="H250" s="29" t="str">
        <f aca="false">IF(A250="","",DATE(YEAR(A250),MONTH(A250),1))</f>
        <v/>
      </c>
    </row>
    <row r="251" customFormat="false" ht="15" hidden="false" customHeight="false" outlineLevel="0" collapsed="false">
      <c r="A251" s="26"/>
      <c r="B251" s="4"/>
      <c r="C251" s="27" t="str">
        <f aca="false">IF(B251="","",IFERROR(INDEX(Listas!$C$5:$C$40,MATCH(B251,Listas!$B$5:$B$40,0)),"?"))</f>
        <v/>
      </c>
      <c r="D251" s="4"/>
      <c r="E251" s="4"/>
      <c r="F251" s="4"/>
      <c r="G251" s="28"/>
      <c r="H251" s="29" t="str">
        <f aca="false">IF(A251="","",DATE(YEAR(A251),MONTH(A251),1))</f>
        <v/>
      </c>
    </row>
    <row r="252" customFormat="false" ht="15" hidden="false" customHeight="false" outlineLevel="0" collapsed="false">
      <c r="A252" s="26"/>
      <c r="B252" s="4"/>
      <c r="C252" s="27" t="str">
        <f aca="false">IF(B252="","",IFERROR(INDEX(Listas!$C$5:$C$40,MATCH(B252,Listas!$B$5:$B$40,0)),"?"))</f>
        <v/>
      </c>
      <c r="D252" s="4"/>
      <c r="E252" s="4"/>
      <c r="F252" s="4"/>
      <c r="G252" s="28"/>
      <c r="H252" s="29" t="str">
        <f aca="false">IF(A252="","",DATE(YEAR(A252),MONTH(A252),1))</f>
        <v/>
      </c>
    </row>
    <row r="253" customFormat="false" ht="15" hidden="false" customHeight="false" outlineLevel="0" collapsed="false">
      <c r="A253" s="26"/>
      <c r="B253" s="4"/>
      <c r="C253" s="27" t="str">
        <f aca="false">IF(B253="","",IFERROR(INDEX(Listas!$C$5:$C$40,MATCH(B253,Listas!$B$5:$B$40,0)),"?"))</f>
        <v/>
      </c>
      <c r="D253" s="4"/>
      <c r="E253" s="4"/>
      <c r="F253" s="4"/>
      <c r="G253" s="28"/>
      <c r="H253" s="29" t="str">
        <f aca="false">IF(A253="","",DATE(YEAR(A253),MONTH(A253),1))</f>
        <v/>
      </c>
    </row>
    <row r="254" customFormat="false" ht="15" hidden="false" customHeight="false" outlineLevel="0" collapsed="false">
      <c r="A254" s="26"/>
      <c r="B254" s="4"/>
      <c r="C254" s="27" t="str">
        <f aca="false">IF(B254="","",IFERROR(INDEX(Listas!$C$5:$C$40,MATCH(B254,Listas!$B$5:$B$40,0)),"?"))</f>
        <v/>
      </c>
      <c r="D254" s="4"/>
      <c r="E254" s="4"/>
      <c r="F254" s="4"/>
      <c r="G254" s="28"/>
      <c r="H254" s="29" t="str">
        <f aca="false">IF(A254="","",DATE(YEAR(A254),MONTH(A254),1))</f>
        <v/>
      </c>
    </row>
    <row r="255" customFormat="false" ht="15" hidden="false" customHeight="false" outlineLevel="0" collapsed="false">
      <c r="A255" s="26"/>
      <c r="B255" s="4"/>
      <c r="C255" s="27" t="str">
        <f aca="false">IF(B255="","",IFERROR(INDEX(Listas!$C$5:$C$40,MATCH(B255,Listas!$B$5:$B$40,0)),"?"))</f>
        <v/>
      </c>
      <c r="D255" s="4"/>
      <c r="E255" s="4"/>
      <c r="F255" s="4"/>
      <c r="G255" s="28"/>
      <c r="H255" s="29" t="str">
        <f aca="false">IF(A255="","",DATE(YEAR(A255),MONTH(A255),1))</f>
        <v/>
      </c>
    </row>
    <row r="256" customFormat="false" ht="15" hidden="false" customHeight="false" outlineLevel="0" collapsed="false">
      <c r="A256" s="26"/>
      <c r="B256" s="4"/>
      <c r="C256" s="27" t="str">
        <f aca="false">IF(B256="","",IFERROR(INDEX(Listas!$C$5:$C$40,MATCH(B256,Listas!$B$5:$B$40,0)),"?"))</f>
        <v/>
      </c>
      <c r="D256" s="4"/>
      <c r="E256" s="4"/>
      <c r="F256" s="4"/>
      <c r="G256" s="28"/>
      <c r="H256" s="29" t="str">
        <f aca="false">IF(A256="","",DATE(YEAR(A256),MONTH(A256),1))</f>
        <v/>
      </c>
    </row>
    <row r="257" customFormat="false" ht="15" hidden="false" customHeight="false" outlineLevel="0" collapsed="false">
      <c r="A257" s="26"/>
      <c r="B257" s="4"/>
      <c r="C257" s="27" t="str">
        <f aca="false">IF(B257="","",IFERROR(INDEX(Listas!$C$5:$C$40,MATCH(B257,Listas!$B$5:$B$40,0)),"?"))</f>
        <v/>
      </c>
      <c r="D257" s="4"/>
      <c r="E257" s="4"/>
      <c r="F257" s="4"/>
      <c r="G257" s="28"/>
      <c r="H257" s="29" t="str">
        <f aca="false">IF(A257="","",DATE(YEAR(A257),MONTH(A257),1))</f>
        <v/>
      </c>
    </row>
    <row r="258" customFormat="false" ht="15" hidden="false" customHeight="false" outlineLevel="0" collapsed="false">
      <c r="A258" s="26"/>
      <c r="B258" s="4"/>
      <c r="C258" s="27" t="str">
        <f aca="false">IF(B258="","",IFERROR(INDEX(Listas!$C$5:$C$40,MATCH(B258,Listas!$B$5:$B$40,0)),"?"))</f>
        <v/>
      </c>
      <c r="D258" s="4"/>
      <c r="E258" s="4"/>
      <c r="F258" s="4"/>
      <c r="G258" s="28"/>
      <c r="H258" s="29" t="str">
        <f aca="false">IF(A258="","",DATE(YEAR(A258),MONTH(A258),1))</f>
        <v/>
      </c>
    </row>
    <row r="259" customFormat="false" ht="15" hidden="false" customHeight="false" outlineLevel="0" collapsed="false">
      <c r="A259" s="26"/>
      <c r="B259" s="4"/>
      <c r="C259" s="27" t="str">
        <f aca="false">IF(B259="","",IFERROR(INDEX(Listas!$C$5:$C$40,MATCH(B259,Listas!$B$5:$B$40,0)),"?"))</f>
        <v/>
      </c>
      <c r="D259" s="4"/>
      <c r="E259" s="4"/>
      <c r="F259" s="4"/>
      <c r="G259" s="28"/>
      <c r="H259" s="29" t="str">
        <f aca="false">IF(A259="","",DATE(YEAR(A259),MONTH(A259),1))</f>
        <v/>
      </c>
    </row>
    <row r="260" customFormat="false" ht="15" hidden="false" customHeight="false" outlineLevel="0" collapsed="false">
      <c r="A260" s="26"/>
      <c r="B260" s="4"/>
      <c r="C260" s="27" t="str">
        <f aca="false">IF(B260="","",IFERROR(INDEX(Listas!$C$5:$C$40,MATCH(B260,Listas!$B$5:$B$40,0)),"?"))</f>
        <v/>
      </c>
      <c r="D260" s="4"/>
      <c r="E260" s="4"/>
      <c r="F260" s="4"/>
      <c r="G260" s="28"/>
      <c r="H260" s="29" t="str">
        <f aca="false">IF(A260="","",DATE(YEAR(A260),MONTH(A260),1))</f>
        <v/>
      </c>
    </row>
    <row r="261" customFormat="false" ht="15" hidden="false" customHeight="false" outlineLevel="0" collapsed="false">
      <c r="A261" s="26"/>
      <c r="B261" s="4"/>
      <c r="C261" s="27" t="str">
        <f aca="false">IF(B261="","",IFERROR(INDEX(Listas!$C$5:$C$40,MATCH(B261,Listas!$B$5:$B$40,0)),"?"))</f>
        <v/>
      </c>
      <c r="D261" s="4"/>
      <c r="E261" s="4"/>
      <c r="F261" s="4"/>
      <c r="G261" s="28"/>
      <c r="H261" s="29" t="str">
        <f aca="false">IF(A261="","",DATE(YEAR(A261),MONTH(A261),1))</f>
        <v/>
      </c>
    </row>
    <row r="262" customFormat="false" ht="15" hidden="false" customHeight="false" outlineLevel="0" collapsed="false">
      <c r="A262" s="26"/>
      <c r="B262" s="4"/>
      <c r="C262" s="27" t="str">
        <f aca="false">IF(B262="","",IFERROR(INDEX(Listas!$C$5:$C$40,MATCH(B262,Listas!$B$5:$B$40,0)),"?"))</f>
        <v/>
      </c>
      <c r="D262" s="4"/>
      <c r="E262" s="4"/>
      <c r="F262" s="4"/>
      <c r="G262" s="28"/>
      <c r="H262" s="29" t="str">
        <f aca="false">IF(A262="","",DATE(YEAR(A262),MONTH(A262),1))</f>
        <v/>
      </c>
    </row>
    <row r="263" customFormat="false" ht="15" hidden="false" customHeight="false" outlineLevel="0" collapsed="false">
      <c r="A263" s="26"/>
      <c r="B263" s="4"/>
      <c r="C263" s="27" t="str">
        <f aca="false">IF(B263="","",IFERROR(INDEX(Listas!$C$5:$C$40,MATCH(B263,Listas!$B$5:$B$40,0)),"?"))</f>
        <v/>
      </c>
      <c r="D263" s="4"/>
      <c r="E263" s="4"/>
      <c r="F263" s="4"/>
      <c r="G263" s="28"/>
      <c r="H263" s="29" t="str">
        <f aca="false">IF(A263="","",DATE(YEAR(A263),MONTH(A263),1))</f>
        <v/>
      </c>
    </row>
    <row r="264" customFormat="false" ht="15" hidden="false" customHeight="false" outlineLevel="0" collapsed="false">
      <c r="A264" s="26"/>
      <c r="B264" s="4"/>
      <c r="C264" s="27" t="str">
        <f aca="false">IF(B264="","",IFERROR(INDEX(Listas!$C$5:$C$40,MATCH(B264,Listas!$B$5:$B$40,0)),"?"))</f>
        <v/>
      </c>
      <c r="D264" s="4"/>
      <c r="E264" s="4"/>
      <c r="F264" s="4"/>
      <c r="G264" s="28"/>
      <c r="H264" s="29" t="str">
        <f aca="false">IF(A264="","",DATE(YEAR(A264),MONTH(A264),1))</f>
        <v/>
      </c>
    </row>
    <row r="265" customFormat="false" ht="15" hidden="false" customHeight="false" outlineLevel="0" collapsed="false">
      <c r="A265" s="26"/>
      <c r="B265" s="4"/>
      <c r="C265" s="27" t="str">
        <f aca="false">IF(B265="","",IFERROR(INDEX(Listas!$C$5:$C$40,MATCH(B265,Listas!$B$5:$B$40,0)),"?"))</f>
        <v/>
      </c>
      <c r="D265" s="4"/>
      <c r="E265" s="4"/>
      <c r="F265" s="4"/>
      <c r="G265" s="28"/>
      <c r="H265" s="29" t="str">
        <f aca="false">IF(A265="","",DATE(YEAR(A265),MONTH(A265),1))</f>
        <v/>
      </c>
    </row>
    <row r="266" customFormat="false" ht="15" hidden="false" customHeight="false" outlineLevel="0" collapsed="false">
      <c r="A266" s="26"/>
      <c r="B266" s="4"/>
      <c r="C266" s="27" t="str">
        <f aca="false">IF(B266="","",IFERROR(INDEX(Listas!$C$5:$C$40,MATCH(B266,Listas!$B$5:$B$40,0)),"?"))</f>
        <v/>
      </c>
      <c r="D266" s="4"/>
      <c r="E266" s="4"/>
      <c r="F266" s="4"/>
      <c r="G266" s="28"/>
      <c r="H266" s="29" t="str">
        <f aca="false">IF(A266="","",DATE(YEAR(A266),MONTH(A266),1))</f>
        <v/>
      </c>
    </row>
    <row r="267" customFormat="false" ht="15" hidden="false" customHeight="false" outlineLevel="0" collapsed="false">
      <c r="A267" s="26"/>
      <c r="B267" s="4"/>
      <c r="C267" s="27" t="str">
        <f aca="false">IF(B267="","",IFERROR(INDEX(Listas!$C$5:$C$40,MATCH(B267,Listas!$B$5:$B$40,0)),"?"))</f>
        <v/>
      </c>
      <c r="D267" s="4"/>
      <c r="E267" s="4"/>
      <c r="F267" s="4"/>
      <c r="G267" s="28"/>
      <c r="H267" s="29" t="str">
        <f aca="false">IF(A267="","",DATE(YEAR(A267),MONTH(A267),1))</f>
        <v/>
      </c>
    </row>
    <row r="268" customFormat="false" ht="15" hidden="false" customHeight="false" outlineLevel="0" collapsed="false">
      <c r="A268" s="26"/>
      <c r="B268" s="4"/>
      <c r="C268" s="27" t="str">
        <f aca="false">IF(B268="","",IFERROR(INDEX(Listas!$C$5:$C$40,MATCH(B268,Listas!$B$5:$B$40,0)),"?"))</f>
        <v/>
      </c>
      <c r="D268" s="4"/>
      <c r="E268" s="4"/>
      <c r="F268" s="4"/>
      <c r="G268" s="28"/>
      <c r="H268" s="29" t="str">
        <f aca="false">IF(A268="","",DATE(YEAR(A268),MONTH(A268),1))</f>
        <v/>
      </c>
    </row>
    <row r="269" customFormat="false" ht="15" hidden="false" customHeight="false" outlineLevel="0" collapsed="false">
      <c r="A269" s="26"/>
      <c r="B269" s="4"/>
      <c r="C269" s="27" t="str">
        <f aca="false">IF(B269="","",IFERROR(INDEX(Listas!$C$5:$C$40,MATCH(B269,Listas!$B$5:$B$40,0)),"?"))</f>
        <v/>
      </c>
      <c r="D269" s="4"/>
      <c r="E269" s="4"/>
      <c r="F269" s="4"/>
      <c r="G269" s="28"/>
      <c r="H269" s="29" t="str">
        <f aca="false">IF(A269="","",DATE(YEAR(A269),MONTH(A269),1))</f>
        <v/>
      </c>
    </row>
    <row r="270" customFormat="false" ht="15" hidden="false" customHeight="false" outlineLevel="0" collapsed="false">
      <c r="A270" s="26"/>
      <c r="B270" s="4"/>
      <c r="C270" s="27" t="str">
        <f aca="false">IF(B270="","",IFERROR(INDEX(Listas!$C$5:$C$40,MATCH(B270,Listas!$B$5:$B$40,0)),"?"))</f>
        <v/>
      </c>
      <c r="D270" s="4"/>
      <c r="E270" s="4"/>
      <c r="F270" s="4"/>
      <c r="G270" s="28"/>
      <c r="H270" s="29" t="str">
        <f aca="false">IF(A270="","",DATE(YEAR(A270),MONTH(A270),1))</f>
        <v/>
      </c>
    </row>
    <row r="271" customFormat="false" ht="15" hidden="false" customHeight="false" outlineLevel="0" collapsed="false">
      <c r="A271" s="26"/>
      <c r="B271" s="4"/>
      <c r="C271" s="27" t="str">
        <f aca="false">IF(B271="","",IFERROR(INDEX(Listas!$C$5:$C$40,MATCH(B271,Listas!$B$5:$B$40,0)),"?"))</f>
        <v/>
      </c>
      <c r="D271" s="4"/>
      <c r="E271" s="4"/>
      <c r="F271" s="4"/>
      <c r="G271" s="28"/>
      <c r="H271" s="29" t="str">
        <f aca="false">IF(A271="","",DATE(YEAR(A271),MONTH(A271),1))</f>
        <v/>
      </c>
    </row>
    <row r="272" customFormat="false" ht="15" hidden="false" customHeight="false" outlineLevel="0" collapsed="false">
      <c r="A272" s="26"/>
      <c r="B272" s="4"/>
      <c r="C272" s="27" t="str">
        <f aca="false">IF(B272="","",IFERROR(INDEX(Listas!$C$5:$C$40,MATCH(B272,Listas!$B$5:$B$40,0)),"?"))</f>
        <v/>
      </c>
      <c r="D272" s="4"/>
      <c r="E272" s="4"/>
      <c r="F272" s="4"/>
      <c r="G272" s="28"/>
      <c r="H272" s="29" t="str">
        <f aca="false">IF(A272="","",DATE(YEAR(A272),MONTH(A272),1))</f>
        <v/>
      </c>
    </row>
    <row r="273" customFormat="false" ht="15" hidden="false" customHeight="false" outlineLevel="0" collapsed="false">
      <c r="A273" s="26"/>
      <c r="B273" s="4"/>
      <c r="C273" s="27" t="str">
        <f aca="false">IF(B273="","",IFERROR(INDEX(Listas!$C$5:$C$40,MATCH(B273,Listas!$B$5:$B$40,0)),"?"))</f>
        <v/>
      </c>
      <c r="D273" s="4"/>
      <c r="E273" s="4"/>
      <c r="F273" s="4"/>
      <c r="G273" s="28"/>
      <c r="H273" s="29" t="str">
        <f aca="false">IF(A273="","",DATE(YEAR(A273),MONTH(A273),1))</f>
        <v/>
      </c>
    </row>
    <row r="274" customFormat="false" ht="15" hidden="false" customHeight="false" outlineLevel="0" collapsed="false">
      <c r="A274" s="26"/>
      <c r="B274" s="4"/>
      <c r="C274" s="27" t="str">
        <f aca="false">IF(B274="","",IFERROR(INDEX(Listas!$C$5:$C$40,MATCH(B274,Listas!$B$5:$B$40,0)),"?"))</f>
        <v/>
      </c>
      <c r="D274" s="4"/>
      <c r="E274" s="4"/>
      <c r="F274" s="4"/>
      <c r="G274" s="28"/>
      <c r="H274" s="29" t="str">
        <f aca="false">IF(A274="","",DATE(YEAR(A274),MONTH(A274),1))</f>
        <v/>
      </c>
    </row>
    <row r="275" customFormat="false" ht="15" hidden="false" customHeight="false" outlineLevel="0" collapsed="false">
      <c r="A275" s="26"/>
      <c r="B275" s="4"/>
      <c r="C275" s="27" t="str">
        <f aca="false">IF(B275="","",IFERROR(INDEX(Listas!$C$5:$C$40,MATCH(B275,Listas!$B$5:$B$40,0)),"?"))</f>
        <v/>
      </c>
      <c r="D275" s="4"/>
      <c r="E275" s="4"/>
      <c r="F275" s="4"/>
      <c r="G275" s="28"/>
      <c r="H275" s="29" t="str">
        <f aca="false">IF(A275="","",DATE(YEAR(A275),MONTH(A275),1))</f>
        <v/>
      </c>
    </row>
    <row r="276" customFormat="false" ht="15" hidden="false" customHeight="false" outlineLevel="0" collapsed="false">
      <c r="A276" s="26"/>
      <c r="B276" s="4"/>
      <c r="C276" s="27" t="str">
        <f aca="false">IF(B276="","",IFERROR(INDEX(Listas!$C$5:$C$40,MATCH(B276,Listas!$B$5:$B$40,0)),"?"))</f>
        <v/>
      </c>
      <c r="D276" s="4"/>
      <c r="E276" s="4"/>
      <c r="F276" s="4"/>
      <c r="G276" s="28"/>
      <c r="H276" s="29" t="str">
        <f aca="false">IF(A276="","",DATE(YEAR(A276),MONTH(A276),1))</f>
        <v/>
      </c>
    </row>
    <row r="277" customFormat="false" ht="15" hidden="false" customHeight="false" outlineLevel="0" collapsed="false">
      <c r="A277" s="26"/>
      <c r="B277" s="4"/>
      <c r="C277" s="27" t="str">
        <f aca="false">IF(B277="","",IFERROR(INDEX(Listas!$C$5:$C$40,MATCH(B277,Listas!$B$5:$B$40,0)),"?"))</f>
        <v/>
      </c>
      <c r="D277" s="4"/>
      <c r="E277" s="4"/>
      <c r="F277" s="4"/>
      <c r="G277" s="28"/>
      <c r="H277" s="29" t="str">
        <f aca="false">IF(A277="","",DATE(YEAR(A277),MONTH(A277),1))</f>
        <v/>
      </c>
    </row>
    <row r="278" customFormat="false" ht="15" hidden="false" customHeight="false" outlineLevel="0" collapsed="false">
      <c r="A278" s="26"/>
      <c r="B278" s="4"/>
      <c r="C278" s="27" t="str">
        <f aca="false">IF(B278="","",IFERROR(INDEX(Listas!$C$5:$C$40,MATCH(B278,Listas!$B$5:$B$40,0)),"?"))</f>
        <v/>
      </c>
      <c r="D278" s="4"/>
      <c r="E278" s="4"/>
      <c r="F278" s="4"/>
      <c r="G278" s="28"/>
      <c r="H278" s="29" t="str">
        <f aca="false">IF(A278="","",DATE(YEAR(A278),MONTH(A278),1))</f>
        <v/>
      </c>
    </row>
    <row r="279" customFormat="false" ht="15" hidden="false" customHeight="false" outlineLevel="0" collapsed="false">
      <c r="A279" s="26"/>
      <c r="B279" s="4"/>
      <c r="C279" s="27" t="str">
        <f aca="false">IF(B279="","",IFERROR(INDEX(Listas!$C$5:$C$40,MATCH(B279,Listas!$B$5:$B$40,0)),"?"))</f>
        <v/>
      </c>
      <c r="D279" s="4"/>
      <c r="E279" s="4"/>
      <c r="F279" s="4"/>
      <c r="G279" s="28"/>
      <c r="H279" s="29" t="str">
        <f aca="false">IF(A279="","",DATE(YEAR(A279),MONTH(A279),1))</f>
        <v/>
      </c>
    </row>
    <row r="280" customFormat="false" ht="15" hidden="false" customHeight="false" outlineLevel="0" collapsed="false">
      <c r="A280" s="26"/>
      <c r="B280" s="4"/>
      <c r="C280" s="27" t="str">
        <f aca="false">IF(B280="","",IFERROR(INDEX(Listas!$C$5:$C$40,MATCH(B280,Listas!$B$5:$B$40,0)),"?"))</f>
        <v/>
      </c>
      <c r="D280" s="4"/>
      <c r="E280" s="4"/>
      <c r="F280" s="4"/>
      <c r="G280" s="28"/>
      <c r="H280" s="29" t="str">
        <f aca="false">IF(A280="","",DATE(YEAR(A280),MONTH(A280),1))</f>
        <v/>
      </c>
    </row>
    <row r="281" customFormat="false" ht="15" hidden="false" customHeight="false" outlineLevel="0" collapsed="false">
      <c r="A281" s="26"/>
      <c r="B281" s="4"/>
      <c r="C281" s="27" t="str">
        <f aca="false">IF(B281="","",IFERROR(INDEX(Listas!$C$5:$C$40,MATCH(B281,Listas!$B$5:$B$40,0)),"?"))</f>
        <v/>
      </c>
      <c r="D281" s="4"/>
      <c r="E281" s="4"/>
      <c r="F281" s="4"/>
      <c r="G281" s="28"/>
      <c r="H281" s="29" t="str">
        <f aca="false">IF(A281="","",DATE(YEAR(A281),MONTH(A281),1))</f>
        <v/>
      </c>
    </row>
    <row r="282" customFormat="false" ht="15" hidden="false" customHeight="false" outlineLevel="0" collapsed="false">
      <c r="A282" s="26"/>
      <c r="B282" s="4"/>
      <c r="C282" s="27" t="str">
        <f aca="false">IF(B282="","",IFERROR(INDEX(Listas!$C$5:$C$40,MATCH(B282,Listas!$B$5:$B$40,0)),"?"))</f>
        <v/>
      </c>
      <c r="D282" s="4"/>
      <c r="E282" s="4"/>
      <c r="F282" s="4"/>
      <c r="G282" s="28"/>
      <c r="H282" s="29" t="str">
        <f aca="false">IF(A282="","",DATE(YEAR(A282),MONTH(A282),1))</f>
        <v/>
      </c>
    </row>
    <row r="283" customFormat="false" ht="15" hidden="false" customHeight="false" outlineLevel="0" collapsed="false">
      <c r="A283" s="26"/>
      <c r="B283" s="4"/>
      <c r="C283" s="27" t="str">
        <f aca="false">IF(B283="","",IFERROR(INDEX(Listas!$C$5:$C$40,MATCH(B283,Listas!$B$5:$B$40,0)),"?"))</f>
        <v/>
      </c>
      <c r="D283" s="4"/>
      <c r="E283" s="4"/>
      <c r="F283" s="4"/>
      <c r="G283" s="28"/>
      <c r="H283" s="29" t="str">
        <f aca="false">IF(A283="","",DATE(YEAR(A283),MONTH(A283),1))</f>
        <v/>
      </c>
    </row>
    <row r="284" customFormat="false" ht="15" hidden="false" customHeight="false" outlineLevel="0" collapsed="false">
      <c r="A284" s="26"/>
      <c r="B284" s="4"/>
      <c r="C284" s="27" t="str">
        <f aca="false">IF(B284="","",IFERROR(INDEX(Listas!$C$5:$C$40,MATCH(B284,Listas!$B$5:$B$40,0)),"?"))</f>
        <v/>
      </c>
      <c r="D284" s="4"/>
      <c r="E284" s="4"/>
      <c r="F284" s="4"/>
      <c r="G284" s="28"/>
      <c r="H284" s="29" t="str">
        <f aca="false">IF(A284="","",DATE(YEAR(A284),MONTH(A284),1))</f>
        <v/>
      </c>
    </row>
    <row r="285" customFormat="false" ht="15" hidden="false" customHeight="false" outlineLevel="0" collapsed="false">
      <c r="A285" s="26"/>
      <c r="B285" s="4"/>
      <c r="C285" s="27" t="str">
        <f aca="false">IF(B285="","",IFERROR(INDEX(Listas!$C$5:$C$40,MATCH(B285,Listas!$B$5:$B$40,0)),"?"))</f>
        <v/>
      </c>
      <c r="D285" s="4"/>
      <c r="E285" s="4"/>
      <c r="F285" s="4"/>
      <c r="G285" s="28"/>
      <c r="H285" s="29" t="str">
        <f aca="false">IF(A285="","",DATE(YEAR(A285),MONTH(A285),1))</f>
        <v/>
      </c>
    </row>
    <row r="286" customFormat="false" ht="15" hidden="false" customHeight="false" outlineLevel="0" collapsed="false">
      <c r="A286" s="26"/>
      <c r="B286" s="4"/>
      <c r="C286" s="27" t="str">
        <f aca="false">IF(B286="","",IFERROR(INDEX(Listas!$C$5:$C$40,MATCH(B286,Listas!$B$5:$B$40,0)),"?"))</f>
        <v/>
      </c>
      <c r="D286" s="4"/>
      <c r="E286" s="4"/>
      <c r="F286" s="4"/>
      <c r="G286" s="28"/>
      <c r="H286" s="29" t="str">
        <f aca="false">IF(A286="","",DATE(YEAR(A286),MONTH(A286),1))</f>
        <v/>
      </c>
    </row>
    <row r="287" customFormat="false" ht="15" hidden="false" customHeight="false" outlineLevel="0" collapsed="false">
      <c r="A287" s="26"/>
      <c r="B287" s="4"/>
      <c r="C287" s="27" t="str">
        <f aca="false">IF(B287="","",IFERROR(INDEX(Listas!$C$5:$C$40,MATCH(B287,Listas!$B$5:$B$40,0)),"?"))</f>
        <v/>
      </c>
      <c r="D287" s="4"/>
      <c r="E287" s="4"/>
      <c r="F287" s="4"/>
      <c r="G287" s="28"/>
      <c r="H287" s="29" t="str">
        <f aca="false">IF(A287="","",DATE(YEAR(A287),MONTH(A287),1))</f>
        <v/>
      </c>
    </row>
    <row r="288" customFormat="false" ht="15" hidden="false" customHeight="false" outlineLevel="0" collapsed="false">
      <c r="A288" s="26"/>
      <c r="B288" s="4"/>
      <c r="C288" s="27" t="str">
        <f aca="false">IF(B288="","",IFERROR(INDEX(Listas!$C$5:$C$40,MATCH(B288,Listas!$B$5:$B$40,0)),"?"))</f>
        <v/>
      </c>
      <c r="D288" s="4"/>
      <c r="E288" s="4"/>
      <c r="F288" s="4"/>
      <c r="G288" s="28"/>
      <c r="H288" s="29" t="str">
        <f aca="false">IF(A288="","",DATE(YEAR(A288),MONTH(A288),1))</f>
        <v/>
      </c>
    </row>
    <row r="289" customFormat="false" ht="15" hidden="false" customHeight="false" outlineLevel="0" collapsed="false">
      <c r="A289" s="26"/>
      <c r="B289" s="4"/>
      <c r="C289" s="27" t="str">
        <f aca="false">IF(B289="","",IFERROR(INDEX(Listas!$C$5:$C$40,MATCH(B289,Listas!$B$5:$B$40,0)),"?"))</f>
        <v/>
      </c>
      <c r="D289" s="4"/>
      <c r="E289" s="4"/>
      <c r="F289" s="4"/>
      <c r="G289" s="28"/>
      <c r="H289" s="29" t="str">
        <f aca="false">IF(A289="","",DATE(YEAR(A289),MONTH(A289),1))</f>
        <v/>
      </c>
    </row>
    <row r="290" customFormat="false" ht="15" hidden="false" customHeight="false" outlineLevel="0" collapsed="false">
      <c r="A290" s="26"/>
      <c r="B290" s="4"/>
      <c r="C290" s="27" t="str">
        <f aca="false">IF(B290="","",IFERROR(INDEX(Listas!$C$5:$C$40,MATCH(B290,Listas!$B$5:$B$40,0)),"?"))</f>
        <v/>
      </c>
      <c r="D290" s="4"/>
      <c r="E290" s="4"/>
      <c r="F290" s="4"/>
      <c r="G290" s="28"/>
      <c r="H290" s="29" t="str">
        <f aca="false">IF(A290="","",DATE(YEAR(A290),MONTH(A290),1))</f>
        <v/>
      </c>
    </row>
    <row r="291" customFormat="false" ht="15" hidden="false" customHeight="false" outlineLevel="0" collapsed="false">
      <c r="A291" s="26"/>
      <c r="B291" s="4"/>
      <c r="C291" s="27" t="str">
        <f aca="false">IF(B291="","",IFERROR(INDEX(Listas!$C$5:$C$40,MATCH(B291,Listas!$B$5:$B$40,0)),"?"))</f>
        <v/>
      </c>
      <c r="D291" s="4"/>
      <c r="E291" s="4"/>
      <c r="F291" s="4"/>
      <c r="G291" s="28"/>
      <c r="H291" s="29" t="str">
        <f aca="false">IF(A291="","",DATE(YEAR(A291),MONTH(A291),1))</f>
        <v/>
      </c>
    </row>
    <row r="292" customFormat="false" ht="15" hidden="false" customHeight="false" outlineLevel="0" collapsed="false">
      <c r="A292" s="26"/>
      <c r="B292" s="4"/>
      <c r="C292" s="27" t="str">
        <f aca="false">IF(B292="","",IFERROR(INDEX(Listas!$C$5:$C$40,MATCH(B292,Listas!$B$5:$B$40,0)),"?"))</f>
        <v/>
      </c>
      <c r="D292" s="4"/>
      <c r="E292" s="4"/>
      <c r="F292" s="4"/>
      <c r="G292" s="28"/>
      <c r="H292" s="29" t="str">
        <f aca="false">IF(A292="","",DATE(YEAR(A292),MONTH(A292),1))</f>
        <v/>
      </c>
    </row>
    <row r="293" customFormat="false" ht="15" hidden="false" customHeight="false" outlineLevel="0" collapsed="false">
      <c r="A293" s="26"/>
      <c r="B293" s="4"/>
      <c r="C293" s="27" t="str">
        <f aca="false">IF(B293="","",IFERROR(INDEX(Listas!$C$5:$C$40,MATCH(B293,Listas!$B$5:$B$40,0)),"?"))</f>
        <v/>
      </c>
      <c r="D293" s="4"/>
      <c r="E293" s="4"/>
      <c r="F293" s="4"/>
      <c r="G293" s="28"/>
      <c r="H293" s="29" t="str">
        <f aca="false">IF(A293="","",DATE(YEAR(A293),MONTH(A293),1))</f>
        <v/>
      </c>
    </row>
    <row r="294" customFormat="false" ht="15" hidden="false" customHeight="false" outlineLevel="0" collapsed="false">
      <c r="A294" s="26"/>
      <c r="B294" s="4"/>
      <c r="C294" s="27" t="str">
        <f aca="false">IF(B294="","",IFERROR(INDEX(Listas!$C$5:$C$40,MATCH(B294,Listas!$B$5:$B$40,0)),"?"))</f>
        <v/>
      </c>
      <c r="D294" s="4"/>
      <c r="E294" s="4"/>
      <c r="F294" s="4"/>
      <c r="G294" s="28"/>
      <c r="H294" s="29" t="str">
        <f aca="false">IF(A294="","",DATE(YEAR(A294),MONTH(A294),1))</f>
        <v/>
      </c>
    </row>
    <row r="295" customFormat="false" ht="15" hidden="false" customHeight="false" outlineLevel="0" collapsed="false">
      <c r="A295" s="26"/>
      <c r="B295" s="4"/>
      <c r="C295" s="27" t="str">
        <f aca="false">IF(B295="","",IFERROR(INDEX(Listas!$C$5:$C$40,MATCH(B295,Listas!$B$5:$B$40,0)),"?"))</f>
        <v/>
      </c>
      <c r="D295" s="4"/>
      <c r="E295" s="4"/>
      <c r="F295" s="4"/>
      <c r="G295" s="28"/>
      <c r="H295" s="29" t="str">
        <f aca="false">IF(A295="","",DATE(YEAR(A295),MONTH(A295),1))</f>
        <v/>
      </c>
    </row>
    <row r="296" customFormat="false" ht="15" hidden="false" customHeight="false" outlineLevel="0" collapsed="false">
      <c r="A296" s="26"/>
      <c r="B296" s="4"/>
      <c r="C296" s="27" t="str">
        <f aca="false">IF(B296="","",IFERROR(INDEX(Listas!$C$5:$C$40,MATCH(B296,Listas!$B$5:$B$40,0)),"?"))</f>
        <v/>
      </c>
      <c r="D296" s="4"/>
      <c r="E296" s="4"/>
      <c r="F296" s="4"/>
      <c r="G296" s="28"/>
      <c r="H296" s="29" t="str">
        <f aca="false">IF(A296="","",DATE(YEAR(A296),MONTH(A296),1))</f>
        <v/>
      </c>
    </row>
    <row r="297" customFormat="false" ht="15" hidden="false" customHeight="false" outlineLevel="0" collapsed="false">
      <c r="A297" s="26"/>
      <c r="B297" s="4"/>
      <c r="C297" s="27" t="str">
        <f aca="false">IF(B297="","",IFERROR(INDEX(Listas!$C$5:$C$40,MATCH(B297,Listas!$B$5:$B$40,0)),"?"))</f>
        <v/>
      </c>
      <c r="D297" s="4"/>
      <c r="E297" s="4"/>
      <c r="F297" s="4"/>
      <c r="G297" s="28"/>
      <c r="H297" s="29" t="str">
        <f aca="false">IF(A297="","",DATE(YEAR(A297),MONTH(A297),1))</f>
        <v/>
      </c>
    </row>
    <row r="298" customFormat="false" ht="15" hidden="false" customHeight="false" outlineLevel="0" collapsed="false">
      <c r="A298" s="26"/>
      <c r="B298" s="4"/>
      <c r="C298" s="27" t="str">
        <f aca="false">IF(B298="","",IFERROR(INDEX(Listas!$C$5:$C$40,MATCH(B298,Listas!$B$5:$B$40,0)),"?"))</f>
        <v/>
      </c>
      <c r="D298" s="4"/>
      <c r="E298" s="4"/>
      <c r="F298" s="4"/>
      <c r="G298" s="28"/>
      <c r="H298" s="29" t="str">
        <f aca="false">IF(A298="","",DATE(YEAR(A298),MONTH(A298),1))</f>
        <v/>
      </c>
    </row>
    <row r="299" customFormat="false" ht="15" hidden="false" customHeight="false" outlineLevel="0" collapsed="false">
      <c r="A299" s="26"/>
      <c r="B299" s="4"/>
      <c r="C299" s="27" t="str">
        <f aca="false">IF(B299="","",IFERROR(INDEX(Listas!$C$5:$C$40,MATCH(B299,Listas!$B$5:$B$40,0)),"?"))</f>
        <v/>
      </c>
      <c r="D299" s="4"/>
      <c r="E299" s="4"/>
      <c r="F299" s="4"/>
      <c r="G299" s="28"/>
      <c r="H299" s="29" t="str">
        <f aca="false">IF(A299="","",DATE(YEAR(A299),MONTH(A299),1))</f>
        <v/>
      </c>
    </row>
    <row r="300" customFormat="false" ht="15" hidden="false" customHeight="false" outlineLevel="0" collapsed="false">
      <c r="A300" s="26"/>
      <c r="B300" s="4"/>
      <c r="C300" s="27" t="str">
        <f aca="false">IF(B300="","",IFERROR(INDEX(Listas!$C$5:$C$40,MATCH(B300,Listas!$B$5:$B$40,0)),"?"))</f>
        <v/>
      </c>
      <c r="D300" s="4"/>
      <c r="E300" s="4"/>
      <c r="F300" s="4"/>
      <c r="G300" s="28"/>
      <c r="H300" s="29" t="str">
        <f aca="false">IF(A300="","",DATE(YEAR(A300),MONTH(A300),1))</f>
        <v/>
      </c>
    </row>
    <row r="301" customFormat="false" ht="15" hidden="false" customHeight="false" outlineLevel="0" collapsed="false">
      <c r="A301" s="26"/>
      <c r="B301" s="4"/>
      <c r="C301" s="27" t="str">
        <f aca="false">IF(B301="","",IFERROR(INDEX(Listas!$C$5:$C$40,MATCH(B301,Listas!$B$5:$B$40,0)),"?"))</f>
        <v/>
      </c>
      <c r="D301" s="4"/>
      <c r="E301" s="4"/>
      <c r="F301" s="4"/>
      <c r="G301" s="28"/>
      <c r="H301" s="29" t="str">
        <f aca="false">IF(A301="","",DATE(YEAR(A301),MONTH(A301),1))</f>
        <v/>
      </c>
    </row>
    <row r="302" customFormat="false" ht="15" hidden="false" customHeight="false" outlineLevel="0" collapsed="false">
      <c r="A302" s="26"/>
      <c r="B302" s="4"/>
      <c r="C302" s="27" t="str">
        <f aca="false">IF(B302="","",IFERROR(INDEX(Listas!$C$5:$C$40,MATCH(B302,Listas!$B$5:$B$40,0)),"?"))</f>
        <v/>
      </c>
      <c r="D302" s="4"/>
      <c r="E302" s="4"/>
      <c r="F302" s="4"/>
      <c r="G302" s="28"/>
      <c r="H302" s="29" t="str">
        <f aca="false">IF(A302="","",DATE(YEAR(A302),MONTH(A302),1))</f>
        <v/>
      </c>
    </row>
    <row r="303" customFormat="false" ht="15" hidden="false" customHeight="false" outlineLevel="0" collapsed="false">
      <c r="A303" s="26"/>
      <c r="B303" s="4"/>
      <c r="C303" s="27" t="str">
        <f aca="false">IF(B303="","",IFERROR(INDEX(Listas!$C$5:$C$40,MATCH(B303,Listas!$B$5:$B$40,0)),"?"))</f>
        <v/>
      </c>
      <c r="D303" s="4"/>
      <c r="E303" s="4"/>
      <c r="F303" s="4"/>
      <c r="G303" s="28"/>
      <c r="H303" s="29" t="str">
        <f aca="false">IF(A303="","",DATE(YEAR(A303),MONTH(A303),1))</f>
        <v/>
      </c>
    </row>
    <row r="304" customFormat="false" ht="15" hidden="false" customHeight="false" outlineLevel="0" collapsed="false">
      <c r="A304" s="26"/>
      <c r="B304" s="4"/>
      <c r="C304" s="27" t="str">
        <f aca="false">IF(B304="","",IFERROR(INDEX(Listas!$C$5:$C$40,MATCH(B304,Listas!$B$5:$B$40,0)),"?"))</f>
        <v/>
      </c>
      <c r="D304" s="4"/>
      <c r="E304" s="4"/>
      <c r="F304" s="4"/>
      <c r="G304" s="28"/>
      <c r="H304" s="29" t="str">
        <f aca="false">IF(A304="","",DATE(YEAR(A304),MONTH(A304),1))</f>
        <v/>
      </c>
    </row>
    <row r="305" customFormat="false" ht="15" hidden="false" customHeight="false" outlineLevel="0" collapsed="false">
      <c r="A305" s="26"/>
      <c r="B305" s="4"/>
      <c r="C305" s="27" t="str">
        <f aca="false">IF(B305="","",IFERROR(INDEX(Listas!$C$5:$C$40,MATCH(B305,Listas!$B$5:$B$40,0)),"?"))</f>
        <v/>
      </c>
      <c r="D305" s="4"/>
      <c r="E305" s="4"/>
      <c r="F305" s="4"/>
      <c r="G305" s="28"/>
      <c r="H305" s="29" t="str">
        <f aca="false">IF(A305="","",DATE(YEAR(A305),MONTH(A305),1))</f>
        <v/>
      </c>
    </row>
    <row r="306" customFormat="false" ht="15" hidden="false" customHeight="false" outlineLevel="0" collapsed="false">
      <c r="A306" s="26"/>
      <c r="B306" s="4"/>
      <c r="C306" s="27" t="str">
        <f aca="false">IF(B306="","",IFERROR(INDEX(Listas!$C$5:$C$40,MATCH(B306,Listas!$B$5:$B$40,0)),"?"))</f>
        <v/>
      </c>
      <c r="D306" s="4"/>
      <c r="E306" s="4"/>
      <c r="F306" s="4"/>
      <c r="G306" s="28"/>
      <c r="H306" s="29" t="str">
        <f aca="false">IF(A306="","",DATE(YEAR(A306),MONTH(A306),1))</f>
        <v/>
      </c>
    </row>
    <row r="307" customFormat="false" ht="15" hidden="false" customHeight="false" outlineLevel="0" collapsed="false">
      <c r="A307" s="26"/>
      <c r="B307" s="4"/>
      <c r="C307" s="27" t="str">
        <f aca="false">IF(B307="","",IFERROR(INDEX(Listas!$C$5:$C$40,MATCH(B307,Listas!$B$5:$B$40,0)),"?"))</f>
        <v/>
      </c>
      <c r="D307" s="4"/>
      <c r="E307" s="4"/>
      <c r="F307" s="4"/>
      <c r="G307" s="28"/>
      <c r="H307" s="29" t="str">
        <f aca="false">IF(A307="","",DATE(YEAR(A307),MONTH(A307),1))</f>
        <v/>
      </c>
    </row>
    <row r="308" customFormat="false" ht="15" hidden="false" customHeight="false" outlineLevel="0" collapsed="false">
      <c r="A308" s="26"/>
      <c r="B308" s="4"/>
      <c r="C308" s="27" t="str">
        <f aca="false">IF(B308="","",IFERROR(INDEX(Listas!$C$5:$C$40,MATCH(B308,Listas!$B$5:$B$40,0)),"?"))</f>
        <v/>
      </c>
      <c r="D308" s="4"/>
      <c r="E308" s="4"/>
      <c r="F308" s="4"/>
      <c r="G308" s="28"/>
      <c r="H308" s="29" t="str">
        <f aca="false">IF(A308="","",DATE(YEAR(A308),MONTH(A308),1))</f>
        <v/>
      </c>
    </row>
    <row r="309" customFormat="false" ht="15" hidden="false" customHeight="false" outlineLevel="0" collapsed="false">
      <c r="A309" s="26"/>
      <c r="B309" s="4"/>
      <c r="C309" s="27" t="str">
        <f aca="false">IF(B309="","",IFERROR(INDEX(Listas!$C$5:$C$40,MATCH(B309,Listas!$B$5:$B$40,0)),"?"))</f>
        <v/>
      </c>
      <c r="D309" s="4"/>
      <c r="E309" s="4"/>
      <c r="F309" s="4"/>
      <c r="G309" s="28"/>
      <c r="H309" s="29" t="str">
        <f aca="false">IF(A309="","",DATE(YEAR(A309),MONTH(A309),1))</f>
        <v/>
      </c>
    </row>
    <row r="310" customFormat="false" ht="15" hidden="false" customHeight="false" outlineLevel="0" collapsed="false">
      <c r="A310" s="26"/>
      <c r="B310" s="4"/>
      <c r="C310" s="27" t="str">
        <f aca="false">IF(B310="","",IFERROR(INDEX(Listas!$C$5:$C$40,MATCH(B310,Listas!$B$5:$B$40,0)),"?"))</f>
        <v/>
      </c>
      <c r="D310" s="4"/>
      <c r="E310" s="4"/>
      <c r="F310" s="4"/>
      <c r="G310" s="28"/>
      <c r="H310" s="29" t="str">
        <f aca="false">IF(A310="","",DATE(YEAR(A310),MONTH(A310),1))</f>
        <v/>
      </c>
    </row>
    <row r="311" customFormat="false" ht="15" hidden="false" customHeight="false" outlineLevel="0" collapsed="false">
      <c r="A311" s="26"/>
      <c r="B311" s="4"/>
      <c r="C311" s="27" t="str">
        <f aca="false">IF(B311="","",IFERROR(INDEX(Listas!$C$5:$C$40,MATCH(B311,Listas!$B$5:$B$40,0)),"?"))</f>
        <v/>
      </c>
      <c r="D311" s="4"/>
      <c r="E311" s="4"/>
      <c r="F311" s="4"/>
      <c r="G311" s="28"/>
      <c r="H311" s="29" t="str">
        <f aca="false">IF(A311="","",DATE(YEAR(A311),MONTH(A311),1))</f>
        <v/>
      </c>
    </row>
    <row r="312" customFormat="false" ht="15" hidden="false" customHeight="false" outlineLevel="0" collapsed="false">
      <c r="A312" s="26"/>
      <c r="B312" s="4"/>
      <c r="C312" s="27" t="str">
        <f aca="false">IF(B312="","",IFERROR(INDEX(Listas!$C$5:$C$40,MATCH(B312,Listas!$B$5:$B$40,0)),"?"))</f>
        <v/>
      </c>
      <c r="D312" s="4"/>
      <c r="E312" s="4"/>
      <c r="F312" s="4"/>
      <c r="G312" s="28"/>
      <c r="H312" s="29" t="str">
        <f aca="false">IF(A312="","",DATE(YEAR(A312),MONTH(A312),1))</f>
        <v/>
      </c>
    </row>
    <row r="313" customFormat="false" ht="15" hidden="false" customHeight="false" outlineLevel="0" collapsed="false">
      <c r="A313" s="26"/>
      <c r="B313" s="4"/>
      <c r="C313" s="27" t="str">
        <f aca="false">IF(B313="","",IFERROR(INDEX(Listas!$C$5:$C$40,MATCH(B313,Listas!$B$5:$B$40,0)),"?"))</f>
        <v/>
      </c>
      <c r="D313" s="4"/>
      <c r="E313" s="4"/>
      <c r="F313" s="4"/>
      <c r="G313" s="28"/>
      <c r="H313" s="29" t="str">
        <f aca="false">IF(A313="","",DATE(YEAR(A313),MONTH(A313),1))</f>
        <v/>
      </c>
    </row>
    <row r="314" customFormat="false" ht="15" hidden="false" customHeight="false" outlineLevel="0" collapsed="false">
      <c r="A314" s="26"/>
      <c r="B314" s="4"/>
      <c r="C314" s="27" t="str">
        <f aca="false">IF(B314="","",IFERROR(INDEX(Listas!$C$5:$C$40,MATCH(B314,Listas!$B$5:$B$40,0)),"?"))</f>
        <v/>
      </c>
      <c r="D314" s="4"/>
      <c r="E314" s="4"/>
      <c r="F314" s="4"/>
      <c r="G314" s="28"/>
      <c r="H314" s="29" t="str">
        <f aca="false">IF(A314="","",DATE(YEAR(A314),MONTH(A314),1))</f>
        <v/>
      </c>
    </row>
    <row r="315" customFormat="false" ht="15" hidden="false" customHeight="false" outlineLevel="0" collapsed="false">
      <c r="A315" s="26"/>
      <c r="B315" s="4"/>
      <c r="C315" s="27" t="str">
        <f aca="false">IF(B315="","",IFERROR(INDEX(Listas!$C$5:$C$40,MATCH(B315,Listas!$B$5:$B$40,0)),"?"))</f>
        <v/>
      </c>
      <c r="D315" s="4"/>
      <c r="E315" s="4"/>
      <c r="F315" s="4"/>
      <c r="G315" s="28"/>
      <c r="H315" s="29" t="str">
        <f aca="false">IF(A315="","",DATE(YEAR(A315),MONTH(A315),1))</f>
        <v/>
      </c>
    </row>
    <row r="316" customFormat="false" ht="15" hidden="false" customHeight="false" outlineLevel="0" collapsed="false">
      <c r="A316" s="26"/>
      <c r="B316" s="4"/>
      <c r="C316" s="27" t="str">
        <f aca="false">IF(B316="","",IFERROR(INDEX(Listas!$C$5:$C$40,MATCH(B316,Listas!$B$5:$B$40,0)),"?"))</f>
        <v/>
      </c>
      <c r="D316" s="4"/>
      <c r="E316" s="4"/>
      <c r="F316" s="4"/>
      <c r="G316" s="28"/>
      <c r="H316" s="29" t="str">
        <f aca="false">IF(A316="","",DATE(YEAR(A316),MONTH(A316),1))</f>
        <v/>
      </c>
    </row>
    <row r="317" customFormat="false" ht="15" hidden="false" customHeight="false" outlineLevel="0" collapsed="false">
      <c r="A317" s="26"/>
      <c r="B317" s="4"/>
      <c r="C317" s="27" t="str">
        <f aca="false">IF(B317="","",IFERROR(INDEX(Listas!$C$5:$C$40,MATCH(B317,Listas!$B$5:$B$40,0)),"?"))</f>
        <v/>
      </c>
      <c r="D317" s="4"/>
      <c r="E317" s="4"/>
      <c r="F317" s="4"/>
      <c r="G317" s="28"/>
      <c r="H317" s="29" t="str">
        <f aca="false">IF(A317="","",DATE(YEAR(A317),MONTH(A317),1))</f>
        <v/>
      </c>
    </row>
    <row r="318" customFormat="false" ht="15" hidden="false" customHeight="false" outlineLevel="0" collapsed="false">
      <c r="A318" s="26"/>
      <c r="B318" s="4"/>
      <c r="C318" s="27" t="str">
        <f aca="false">IF(B318="","",IFERROR(INDEX(Listas!$C$5:$C$40,MATCH(B318,Listas!$B$5:$B$40,0)),"?"))</f>
        <v/>
      </c>
      <c r="D318" s="4"/>
      <c r="E318" s="4"/>
      <c r="F318" s="4"/>
      <c r="G318" s="28"/>
      <c r="H318" s="29" t="str">
        <f aca="false">IF(A318="","",DATE(YEAR(A318),MONTH(A318),1))</f>
        <v/>
      </c>
    </row>
    <row r="319" customFormat="false" ht="15" hidden="false" customHeight="false" outlineLevel="0" collapsed="false">
      <c r="A319" s="26"/>
      <c r="B319" s="4"/>
      <c r="C319" s="27" t="str">
        <f aca="false">IF(B319="","",IFERROR(INDEX(Listas!$C$5:$C$40,MATCH(B319,Listas!$B$5:$B$40,0)),"?"))</f>
        <v/>
      </c>
      <c r="D319" s="4"/>
      <c r="E319" s="4"/>
      <c r="F319" s="4"/>
      <c r="G319" s="28"/>
      <c r="H319" s="29" t="str">
        <f aca="false">IF(A319="","",DATE(YEAR(A319),MONTH(A319),1))</f>
        <v/>
      </c>
    </row>
    <row r="320" customFormat="false" ht="15" hidden="false" customHeight="false" outlineLevel="0" collapsed="false">
      <c r="A320" s="26"/>
      <c r="B320" s="4"/>
      <c r="C320" s="27" t="str">
        <f aca="false">IF(B320="","",IFERROR(INDEX(Listas!$C$5:$C$40,MATCH(B320,Listas!$B$5:$B$40,0)),"?"))</f>
        <v/>
      </c>
      <c r="D320" s="4"/>
      <c r="E320" s="4"/>
      <c r="F320" s="4"/>
      <c r="G320" s="28"/>
      <c r="H320" s="29" t="str">
        <f aca="false">IF(A320="","",DATE(YEAR(A320),MONTH(A320),1))</f>
        <v/>
      </c>
    </row>
    <row r="321" customFormat="false" ht="15" hidden="false" customHeight="false" outlineLevel="0" collapsed="false">
      <c r="A321" s="26"/>
      <c r="B321" s="4"/>
      <c r="C321" s="27" t="str">
        <f aca="false">IF(B321="","",IFERROR(INDEX(Listas!$C$5:$C$40,MATCH(B321,Listas!$B$5:$B$40,0)),"?"))</f>
        <v/>
      </c>
      <c r="D321" s="4"/>
      <c r="E321" s="4"/>
      <c r="F321" s="4"/>
      <c r="G321" s="28"/>
      <c r="H321" s="29" t="str">
        <f aca="false">IF(A321="","",DATE(YEAR(A321),MONTH(A321),1))</f>
        <v/>
      </c>
    </row>
    <row r="322" customFormat="false" ht="15" hidden="false" customHeight="false" outlineLevel="0" collapsed="false">
      <c r="A322" s="26"/>
      <c r="B322" s="4"/>
      <c r="C322" s="27" t="str">
        <f aca="false">IF(B322="","",IFERROR(INDEX(Listas!$C$5:$C$40,MATCH(B322,Listas!$B$5:$B$40,0)),"?"))</f>
        <v/>
      </c>
      <c r="D322" s="4"/>
      <c r="E322" s="4"/>
      <c r="F322" s="4"/>
      <c r="G322" s="28"/>
      <c r="H322" s="29" t="str">
        <f aca="false">IF(A322="","",DATE(YEAR(A322),MONTH(A322),1))</f>
        <v/>
      </c>
    </row>
    <row r="323" customFormat="false" ht="15" hidden="false" customHeight="false" outlineLevel="0" collapsed="false">
      <c r="A323" s="26"/>
      <c r="B323" s="4"/>
      <c r="C323" s="27" t="str">
        <f aca="false">IF(B323="","",IFERROR(INDEX(Listas!$C$5:$C$40,MATCH(B323,Listas!$B$5:$B$40,0)),"?"))</f>
        <v/>
      </c>
      <c r="D323" s="4"/>
      <c r="E323" s="4"/>
      <c r="F323" s="4"/>
      <c r="G323" s="28"/>
      <c r="H323" s="29" t="str">
        <f aca="false">IF(A323="","",DATE(YEAR(A323),MONTH(A323),1))</f>
        <v/>
      </c>
    </row>
    <row r="324" customFormat="false" ht="15" hidden="false" customHeight="false" outlineLevel="0" collapsed="false">
      <c r="A324" s="26"/>
      <c r="B324" s="4"/>
      <c r="C324" s="27" t="str">
        <f aca="false">IF(B324="","",IFERROR(INDEX(Listas!$C$5:$C$40,MATCH(B324,Listas!$B$5:$B$40,0)),"?"))</f>
        <v/>
      </c>
      <c r="D324" s="4"/>
      <c r="E324" s="4"/>
      <c r="F324" s="4"/>
      <c r="G324" s="28"/>
      <c r="H324" s="29" t="str">
        <f aca="false">IF(A324="","",DATE(YEAR(A324),MONTH(A324),1))</f>
        <v/>
      </c>
    </row>
    <row r="325" customFormat="false" ht="15" hidden="false" customHeight="false" outlineLevel="0" collapsed="false">
      <c r="A325" s="26"/>
      <c r="B325" s="4"/>
      <c r="C325" s="27" t="str">
        <f aca="false">IF(B325="","",IFERROR(INDEX(Listas!$C$5:$C$40,MATCH(B325,Listas!$B$5:$B$40,0)),"?"))</f>
        <v/>
      </c>
      <c r="D325" s="4"/>
      <c r="E325" s="4"/>
      <c r="F325" s="4"/>
      <c r="G325" s="28"/>
      <c r="H325" s="29" t="str">
        <f aca="false">IF(A325="","",DATE(YEAR(A325),MONTH(A325),1))</f>
        <v/>
      </c>
    </row>
    <row r="326" customFormat="false" ht="15" hidden="false" customHeight="false" outlineLevel="0" collapsed="false">
      <c r="A326" s="26"/>
      <c r="B326" s="4"/>
      <c r="C326" s="27" t="str">
        <f aca="false">IF(B326="","",IFERROR(INDEX(Listas!$C$5:$C$40,MATCH(B326,Listas!$B$5:$B$40,0)),"?"))</f>
        <v/>
      </c>
      <c r="D326" s="4"/>
      <c r="E326" s="4"/>
      <c r="F326" s="4"/>
      <c r="G326" s="28"/>
      <c r="H326" s="29" t="str">
        <f aca="false">IF(A326="","",DATE(YEAR(A326),MONTH(A326),1))</f>
        <v/>
      </c>
    </row>
    <row r="327" customFormat="false" ht="15" hidden="false" customHeight="false" outlineLevel="0" collapsed="false">
      <c r="A327" s="26"/>
      <c r="B327" s="4"/>
      <c r="C327" s="27" t="str">
        <f aca="false">IF(B327="","",IFERROR(INDEX(Listas!$C$5:$C$40,MATCH(B327,Listas!$B$5:$B$40,0)),"?"))</f>
        <v/>
      </c>
      <c r="D327" s="4"/>
      <c r="E327" s="4"/>
      <c r="F327" s="4"/>
      <c r="G327" s="28"/>
      <c r="H327" s="29" t="str">
        <f aca="false">IF(A327="","",DATE(YEAR(A327),MONTH(A327),1))</f>
        <v/>
      </c>
    </row>
    <row r="328" customFormat="false" ht="15" hidden="false" customHeight="false" outlineLevel="0" collapsed="false">
      <c r="A328" s="26"/>
      <c r="B328" s="4"/>
      <c r="C328" s="27" t="str">
        <f aca="false">IF(B328="","",IFERROR(INDEX(Listas!$C$5:$C$40,MATCH(B328,Listas!$B$5:$B$40,0)),"?"))</f>
        <v/>
      </c>
      <c r="D328" s="4"/>
      <c r="E328" s="4"/>
      <c r="F328" s="4"/>
      <c r="G328" s="28"/>
      <c r="H328" s="29" t="str">
        <f aca="false">IF(A328="","",DATE(YEAR(A328),MONTH(A328),1))</f>
        <v/>
      </c>
    </row>
    <row r="329" customFormat="false" ht="15" hidden="false" customHeight="false" outlineLevel="0" collapsed="false">
      <c r="A329" s="26"/>
      <c r="B329" s="4"/>
      <c r="C329" s="27" t="str">
        <f aca="false">IF(B329="","",IFERROR(INDEX(Listas!$C$5:$C$40,MATCH(B329,Listas!$B$5:$B$40,0)),"?"))</f>
        <v/>
      </c>
      <c r="D329" s="4"/>
      <c r="E329" s="4"/>
      <c r="F329" s="4"/>
      <c r="G329" s="28"/>
      <c r="H329" s="29" t="str">
        <f aca="false">IF(A329="","",DATE(YEAR(A329),MONTH(A329),1))</f>
        <v/>
      </c>
    </row>
    <row r="330" customFormat="false" ht="15" hidden="false" customHeight="false" outlineLevel="0" collapsed="false">
      <c r="A330" s="26"/>
      <c r="B330" s="4"/>
      <c r="C330" s="27" t="str">
        <f aca="false">IF(B330="","",IFERROR(INDEX(Listas!$C$5:$C$40,MATCH(B330,Listas!$B$5:$B$40,0)),"?"))</f>
        <v/>
      </c>
      <c r="D330" s="4"/>
      <c r="E330" s="4"/>
      <c r="F330" s="4"/>
      <c r="G330" s="28"/>
      <c r="H330" s="29" t="str">
        <f aca="false">IF(A330="","",DATE(YEAR(A330),MONTH(A330),1))</f>
        <v/>
      </c>
    </row>
    <row r="331" customFormat="false" ht="15" hidden="false" customHeight="false" outlineLevel="0" collapsed="false">
      <c r="A331" s="26"/>
      <c r="B331" s="4"/>
      <c r="C331" s="27" t="str">
        <f aca="false">IF(B331="","",IFERROR(INDEX(Listas!$C$5:$C$40,MATCH(B331,Listas!$B$5:$B$40,0)),"?"))</f>
        <v/>
      </c>
      <c r="D331" s="4"/>
      <c r="E331" s="4"/>
      <c r="F331" s="4"/>
      <c r="G331" s="28"/>
      <c r="H331" s="29" t="str">
        <f aca="false">IF(A331="","",DATE(YEAR(A331),MONTH(A331),1))</f>
        <v/>
      </c>
    </row>
    <row r="332" customFormat="false" ht="15" hidden="false" customHeight="false" outlineLevel="0" collapsed="false">
      <c r="A332" s="26"/>
      <c r="B332" s="4"/>
      <c r="C332" s="27" t="str">
        <f aca="false">IF(B332="","",IFERROR(INDEX(Listas!$C$5:$C$40,MATCH(B332,Listas!$B$5:$B$40,0)),"?"))</f>
        <v/>
      </c>
      <c r="D332" s="4"/>
      <c r="E332" s="4"/>
      <c r="F332" s="4"/>
      <c r="G332" s="28"/>
      <c r="H332" s="29" t="str">
        <f aca="false">IF(A332="","",DATE(YEAR(A332),MONTH(A332),1))</f>
        <v/>
      </c>
    </row>
    <row r="333" customFormat="false" ht="15" hidden="false" customHeight="false" outlineLevel="0" collapsed="false">
      <c r="A333" s="26"/>
      <c r="B333" s="4"/>
      <c r="C333" s="27" t="str">
        <f aca="false">IF(B333="","",IFERROR(INDEX(Listas!$C$5:$C$40,MATCH(B333,Listas!$B$5:$B$40,0)),"?"))</f>
        <v/>
      </c>
      <c r="D333" s="4"/>
      <c r="E333" s="4"/>
      <c r="F333" s="4"/>
      <c r="G333" s="28"/>
      <c r="H333" s="29" t="str">
        <f aca="false">IF(A333="","",DATE(YEAR(A333),MONTH(A333),1))</f>
        <v/>
      </c>
    </row>
    <row r="334" customFormat="false" ht="15" hidden="false" customHeight="false" outlineLevel="0" collapsed="false">
      <c r="A334" s="26"/>
      <c r="B334" s="4"/>
      <c r="C334" s="27" t="str">
        <f aca="false">IF(B334="","",IFERROR(INDEX(Listas!$C$5:$C$40,MATCH(B334,Listas!$B$5:$B$40,0)),"?"))</f>
        <v/>
      </c>
      <c r="D334" s="4"/>
      <c r="E334" s="4"/>
      <c r="F334" s="4"/>
      <c r="G334" s="28"/>
      <c r="H334" s="29" t="str">
        <f aca="false">IF(A334="","",DATE(YEAR(A334),MONTH(A334),1))</f>
        <v/>
      </c>
    </row>
    <row r="335" customFormat="false" ht="15" hidden="false" customHeight="false" outlineLevel="0" collapsed="false">
      <c r="A335" s="26"/>
      <c r="B335" s="4"/>
      <c r="C335" s="27" t="str">
        <f aca="false">IF(B335="","",IFERROR(INDEX(Listas!$C$5:$C$40,MATCH(B335,Listas!$B$5:$B$40,0)),"?"))</f>
        <v/>
      </c>
      <c r="D335" s="4"/>
      <c r="E335" s="4"/>
      <c r="F335" s="4"/>
      <c r="G335" s="28"/>
      <c r="H335" s="29" t="str">
        <f aca="false">IF(A335="","",DATE(YEAR(A335),MONTH(A335),1))</f>
        <v/>
      </c>
    </row>
    <row r="336" customFormat="false" ht="15" hidden="false" customHeight="false" outlineLevel="0" collapsed="false">
      <c r="A336" s="26"/>
      <c r="B336" s="4"/>
      <c r="C336" s="27" t="str">
        <f aca="false">IF(B336="","",IFERROR(INDEX(Listas!$C$5:$C$40,MATCH(B336,Listas!$B$5:$B$40,0)),"?"))</f>
        <v/>
      </c>
      <c r="D336" s="4"/>
      <c r="E336" s="4"/>
      <c r="F336" s="4"/>
      <c r="G336" s="28"/>
      <c r="H336" s="29" t="str">
        <f aca="false">IF(A336="","",DATE(YEAR(A336),MONTH(A336),1))</f>
        <v/>
      </c>
    </row>
    <row r="337" customFormat="false" ht="15" hidden="false" customHeight="false" outlineLevel="0" collapsed="false">
      <c r="A337" s="26"/>
      <c r="B337" s="4"/>
      <c r="C337" s="27" t="str">
        <f aca="false">IF(B337="","",IFERROR(INDEX(Listas!$C$5:$C$40,MATCH(B337,Listas!$B$5:$B$40,0)),"?"))</f>
        <v/>
      </c>
      <c r="D337" s="4"/>
      <c r="E337" s="4"/>
      <c r="F337" s="4"/>
      <c r="G337" s="28"/>
      <c r="H337" s="29" t="str">
        <f aca="false">IF(A337="","",DATE(YEAR(A337),MONTH(A337),1))</f>
        <v/>
      </c>
    </row>
    <row r="338" customFormat="false" ht="15" hidden="false" customHeight="false" outlineLevel="0" collapsed="false">
      <c r="A338" s="26"/>
      <c r="B338" s="4"/>
      <c r="C338" s="27" t="str">
        <f aca="false">IF(B338="","",IFERROR(INDEX(Listas!$C$5:$C$40,MATCH(B338,Listas!$B$5:$B$40,0)),"?"))</f>
        <v/>
      </c>
      <c r="D338" s="4"/>
      <c r="E338" s="4"/>
      <c r="F338" s="4"/>
      <c r="G338" s="28"/>
      <c r="H338" s="29" t="str">
        <f aca="false">IF(A338="","",DATE(YEAR(A338),MONTH(A338),1))</f>
        <v/>
      </c>
    </row>
    <row r="339" customFormat="false" ht="15" hidden="false" customHeight="false" outlineLevel="0" collapsed="false">
      <c r="A339" s="26"/>
      <c r="B339" s="4"/>
      <c r="C339" s="27" t="str">
        <f aca="false">IF(B339="","",IFERROR(INDEX(Listas!$C$5:$C$40,MATCH(B339,Listas!$B$5:$B$40,0)),"?"))</f>
        <v/>
      </c>
      <c r="D339" s="4"/>
      <c r="E339" s="4"/>
      <c r="F339" s="4"/>
      <c r="G339" s="28"/>
      <c r="H339" s="29" t="str">
        <f aca="false">IF(A339="","",DATE(YEAR(A339),MONTH(A339),1))</f>
        <v/>
      </c>
    </row>
    <row r="340" customFormat="false" ht="15" hidden="false" customHeight="false" outlineLevel="0" collapsed="false">
      <c r="A340" s="26"/>
      <c r="B340" s="4"/>
      <c r="C340" s="27" t="str">
        <f aca="false">IF(B340="","",IFERROR(INDEX(Listas!$C$5:$C$40,MATCH(B340,Listas!$B$5:$B$40,0)),"?"))</f>
        <v/>
      </c>
      <c r="D340" s="4"/>
      <c r="E340" s="4"/>
      <c r="F340" s="4"/>
      <c r="G340" s="28"/>
      <c r="H340" s="29" t="str">
        <f aca="false">IF(A340="","",DATE(YEAR(A340),MONTH(A340),1))</f>
        <v/>
      </c>
    </row>
    <row r="341" customFormat="false" ht="15" hidden="false" customHeight="false" outlineLevel="0" collapsed="false">
      <c r="A341" s="26"/>
      <c r="B341" s="4"/>
      <c r="C341" s="27" t="str">
        <f aca="false">IF(B341="","",IFERROR(INDEX(Listas!$C$5:$C$40,MATCH(B341,Listas!$B$5:$B$40,0)),"?"))</f>
        <v/>
      </c>
      <c r="D341" s="4"/>
      <c r="E341" s="4"/>
      <c r="F341" s="4"/>
      <c r="G341" s="28"/>
      <c r="H341" s="29" t="str">
        <f aca="false">IF(A341="","",DATE(YEAR(A341),MONTH(A341),1))</f>
        <v/>
      </c>
    </row>
    <row r="342" customFormat="false" ht="15" hidden="false" customHeight="false" outlineLevel="0" collapsed="false">
      <c r="A342" s="26"/>
      <c r="B342" s="4"/>
      <c r="C342" s="27" t="str">
        <f aca="false">IF(B342="","",IFERROR(INDEX(Listas!$C$5:$C$40,MATCH(B342,Listas!$B$5:$B$40,0)),"?"))</f>
        <v/>
      </c>
      <c r="D342" s="4"/>
      <c r="E342" s="4"/>
      <c r="F342" s="4"/>
      <c r="G342" s="28"/>
      <c r="H342" s="29" t="str">
        <f aca="false">IF(A342="","",DATE(YEAR(A342),MONTH(A342),1))</f>
        <v/>
      </c>
    </row>
    <row r="343" customFormat="false" ht="15" hidden="false" customHeight="false" outlineLevel="0" collapsed="false">
      <c r="A343" s="26"/>
      <c r="B343" s="4"/>
      <c r="C343" s="27" t="str">
        <f aca="false">IF(B343="","",IFERROR(INDEX(Listas!$C$5:$C$40,MATCH(B343,Listas!$B$5:$B$40,0)),"?"))</f>
        <v/>
      </c>
      <c r="D343" s="4"/>
      <c r="E343" s="4"/>
      <c r="F343" s="4"/>
      <c r="G343" s="28"/>
      <c r="H343" s="29" t="str">
        <f aca="false">IF(A343="","",DATE(YEAR(A343),MONTH(A343),1))</f>
        <v/>
      </c>
    </row>
    <row r="344" customFormat="false" ht="15" hidden="false" customHeight="false" outlineLevel="0" collapsed="false">
      <c r="A344" s="26"/>
      <c r="B344" s="4"/>
      <c r="C344" s="27" t="str">
        <f aca="false">IF(B344="","",IFERROR(INDEX(Listas!$C$5:$C$40,MATCH(B344,Listas!$B$5:$B$40,0)),"?"))</f>
        <v/>
      </c>
      <c r="D344" s="4"/>
      <c r="E344" s="4"/>
      <c r="F344" s="4"/>
      <c r="G344" s="28"/>
      <c r="H344" s="29" t="str">
        <f aca="false">IF(A344="","",DATE(YEAR(A344),MONTH(A344),1))</f>
        <v/>
      </c>
    </row>
    <row r="345" customFormat="false" ht="15" hidden="false" customHeight="false" outlineLevel="0" collapsed="false">
      <c r="A345" s="26"/>
      <c r="B345" s="4"/>
      <c r="C345" s="27" t="str">
        <f aca="false">IF(B345="","",IFERROR(INDEX(Listas!$C$5:$C$40,MATCH(B345,Listas!$B$5:$B$40,0)),"?"))</f>
        <v/>
      </c>
      <c r="D345" s="4"/>
      <c r="E345" s="4"/>
      <c r="F345" s="4"/>
      <c r="G345" s="28"/>
      <c r="H345" s="29" t="str">
        <f aca="false">IF(A345="","",DATE(YEAR(A345),MONTH(A345),1))</f>
        <v/>
      </c>
    </row>
    <row r="346" customFormat="false" ht="15" hidden="false" customHeight="false" outlineLevel="0" collapsed="false">
      <c r="A346" s="26"/>
      <c r="B346" s="4"/>
      <c r="C346" s="27" t="str">
        <f aca="false">IF(B346="","",IFERROR(INDEX(Listas!$C$5:$C$40,MATCH(B346,Listas!$B$5:$B$40,0)),"?"))</f>
        <v/>
      </c>
      <c r="D346" s="4"/>
      <c r="E346" s="4"/>
      <c r="F346" s="4"/>
      <c r="G346" s="28"/>
      <c r="H346" s="29" t="str">
        <f aca="false">IF(A346="","",DATE(YEAR(A346),MONTH(A346),1))</f>
        <v/>
      </c>
    </row>
    <row r="347" customFormat="false" ht="15" hidden="false" customHeight="false" outlineLevel="0" collapsed="false">
      <c r="A347" s="26"/>
      <c r="B347" s="4"/>
      <c r="C347" s="27" t="str">
        <f aca="false">IF(B347="","",IFERROR(INDEX(Listas!$C$5:$C$40,MATCH(B347,Listas!$B$5:$B$40,0)),"?"))</f>
        <v/>
      </c>
      <c r="D347" s="4"/>
      <c r="E347" s="4"/>
      <c r="F347" s="4"/>
      <c r="G347" s="28"/>
      <c r="H347" s="29" t="str">
        <f aca="false">IF(A347="","",DATE(YEAR(A347),MONTH(A347),1))</f>
        <v/>
      </c>
    </row>
    <row r="348" customFormat="false" ht="15" hidden="false" customHeight="false" outlineLevel="0" collapsed="false">
      <c r="A348" s="26"/>
      <c r="B348" s="4"/>
      <c r="C348" s="27" t="str">
        <f aca="false">IF(B348="","",IFERROR(INDEX(Listas!$C$5:$C$40,MATCH(B348,Listas!$B$5:$B$40,0)),"?"))</f>
        <v/>
      </c>
      <c r="D348" s="4"/>
      <c r="E348" s="4"/>
      <c r="F348" s="4"/>
      <c r="G348" s="28"/>
      <c r="H348" s="29" t="str">
        <f aca="false">IF(A348="","",DATE(YEAR(A348),MONTH(A348),1))</f>
        <v/>
      </c>
    </row>
    <row r="349" customFormat="false" ht="15" hidden="false" customHeight="false" outlineLevel="0" collapsed="false">
      <c r="A349" s="26"/>
      <c r="B349" s="4"/>
      <c r="C349" s="27" t="str">
        <f aca="false">IF(B349="","",IFERROR(INDEX(Listas!$C$5:$C$40,MATCH(B349,Listas!$B$5:$B$40,0)),"?"))</f>
        <v/>
      </c>
      <c r="D349" s="4"/>
      <c r="E349" s="4"/>
      <c r="F349" s="4"/>
      <c r="G349" s="28"/>
      <c r="H349" s="29" t="str">
        <f aca="false">IF(A349="","",DATE(YEAR(A349),MONTH(A349),1))</f>
        <v/>
      </c>
    </row>
    <row r="350" customFormat="false" ht="15" hidden="false" customHeight="false" outlineLevel="0" collapsed="false">
      <c r="A350" s="26"/>
      <c r="B350" s="4"/>
      <c r="C350" s="27" t="str">
        <f aca="false">IF(B350="","",IFERROR(INDEX(Listas!$C$5:$C$40,MATCH(B350,Listas!$B$5:$B$40,0)),"?"))</f>
        <v/>
      </c>
      <c r="D350" s="4"/>
      <c r="E350" s="4"/>
      <c r="F350" s="4"/>
      <c r="G350" s="28"/>
      <c r="H350" s="29" t="str">
        <f aca="false">IF(A350="","",DATE(YEAR(A350),MONTH(A350),1))</f>
        <v/>
      </c>
    </row>
    <row r="351" customFormat="false" ht="15" hidden="false" customHeight="false" outlineLevel="0" collapsed="false">
      <c r="A351" s="26"/>
      <c r="B351" s="4"/>
      <c r="C351" s="27" t="str">
        <f aca="false">IF(B351="","",IFERROR(INDEX(Listas!$C$5:$C$40,MATCH(B351,Listas!$B$5:$B$40,0)),"?"))</f>
        <v/>
      </c>
      <c r="D351" s="4"/>
      <c r="E351" s="4"/>
      <c r="F351" s="4"/>
      <c r="G351" s="28"/>
      <c r="H351" s="29" t="str">
        <f aca="false">IF(A351="","",DATE(YEAR(A351),MONTH(A351),1))</f>
        <v/>
      </c>
    </row>
    <row r="352" customFormat="false" ht="15" hidden="false" customHeight="false" outlineLevel="0" collapsed="false">
      <c r="A352" s="26"/>
      <c r="B352" s="4"/>
      <c r="C352" s="27" t="str">
        <f aca="false">IF(B352="","",IFERROR(INDEX(Listas!$C$5:$C$40,MATCH(B352,Listas!$B$5:$B$40,0)),"?"))</f>
        <v/>
      </c>
      <c r="D352" s="4"/>
      <c r="E352" s="4"/>
      <c r="F352" s="4"/>
      <c r="G352" s="28"/>
      <c r="H352" s="29" t="str">
        <f aca="false">IF(A352="","",DATE(YEAR(A352),MONTH(A352),1))</f>
        <v/>
      </c>
    </row>
    <row r="353" customFormat="false" ht="15" hidden="false" customHeight="false" outlineLevel="0" collapsed="false">
      <c r="A353" s="26"/>
      <c r="B353" s="4"/>
      <c r="C353" s="27" t="str">
        <f aca="false">IF(B353="","",IFERROR(INDEX(Listas!$C$5:$C$40,MATCH(B353,Listas!$B$5:$B$40,0)),"?"))</f>
        <v/>
      </c>
      <c r="D353" s="4"/>
      <c r="E353" s="4"/>
      <c r="F353" s="4"/>
      <c r="G353" s="28"/>
      <c r="H353" s="29" t="str">
        <f aca="false">IF(A353="","",DATE(YEAR(A353),MONTH(A353),1))</f>
        <v/>
      </c>
    </row>
    <row r="354" customFormat="false" ht="15" hidden="false" customHeight="false" outlineLevel="0" collapsed="false">
      <c r="A354" s="26"/>
      <c r="B354" s="4"/>
      <c r="C354" s="27" t="str">
        <f aca="false">IF(B354="","",IFERROR(INDEX(Listas!$C$5:$C$40,MATCH(B354,Listas!$B$5:$B$40,0)),"?"))</f>
        <v/>
      </c>
      <c r="D354" s="4"/>
      <c r="E354" s="4"/>
      <c r="F354" s="4"/>
      <c r="G354" s="28"/>
      <c r="H354" s="29" t="str">
        <f aca="false">IF(A354="","",DATE(YEAR(A354),MONTH(A354),1))</f>
        <v/>
      </c>
    </row>
    <row r="355" customFormat="false" ht="15" hidden="false" customHeight="false" outlineLevel="0" collapsed="false">
      <c r="A355" s="26"/>
      <c r="B355" s="4"/>
      <c r="C355" s="27" t="str">
        <f aca="false">IF(B355="","",IFERROR(INDEX(Listas!$C$5:$C$40,MATCH(B355,Listas!$B$5:$B$40,0)),"?"))</f>
        <v/>
      </c>
      <c r="D355" s="4"/>
      <c r="E355" s="4"/>
      <c r="F355" s="4"/>
      <c r="G355" s="28"/>
      <c r="H355" s="29" t="str">
        <f aca="false">IF(A355="","",DATE(YEAR(A355),MONTH(A355),1))</f>
        <v/>
      </c>
    </row>
    <row r="356" customFormat="false" ht="15" hidden="false" customHeight="false" outlineLevel="0" collapsed="false">
      <c r="A356" s="26"/>
      <c r="B356" s="4"/>
      <c r="C356" s="27" t="str">
        <f aca="false">IF(B356="","",IFERROR(INDEX(Listas!$C$5:$C$40,MATCH(B356,Listas!$B$5:$B$40,0)),"?"))</f>
        <v/>
      </c>
      <c r="D356" s="4"/>
      <c r="E356" s="4"/>
      <c r="F356" s="4"/>
      <c r="G356" s="28"/>
      <c r="H356" s="29" t="str">
        <f aca="false">IF(A356="","",DATE(YEAR(A356),MONTH(A356),1))</f>
        <v/>
      </c>
    </row>
    <row r="357" customFormat="false" ht="15" hidden="false" customHeight="false" outlineLevel="0" collapsed="false">
      <c r="A357" s="26"/>
      <c r="B357" s="4"/>
      <c r="C357" s="27" t="str">
        <f aca="false">IF(B357="","",IFERROR(INDEX(Listas!$C$5:$C$40,MATCH(B357,Listas!$B$5:$B$40,0)),"?"))</f>
        <v/>
      </c>
      <c r="D357" s="4"/>
      <c r="E357" s="4"/>
      <c r="F357" s="4"/>
      <c r="G357" s="28"/>
      <c r="H357" s="29" t="str">
        <f aca="false">IF(A357="","",DATE(YEAR(A357),MONTH(A357),1))</f>
        <v/>
      </c>
    </row>
    <row r="358" customFormat="false" ht="15" hidden="false" customHeight="false" outlineLevel="0" collapsed="false">
      <c r="A358" s="26"/>
      <c r="B358" s="4"/>
      <c r="C358" s="27" t="str">
        <f aca="false">IF(B358="","",IFERROR(INDEX(Listas!$C$5:$C$40,MATCH(B358,Listas!$B$5:$B$40,0)),"?"))</f>
        <v/>
      </c>
      <c r="D358" s="4"/>
      <c r="E358" s="4"/>
      <c r="F358" s="4"/>
      <c r="G358" s="28"/>
      <c r="H358" s="29" t="str">
        <f aca="false">IF(A358="","",DATE(YEAR(A358),MONTH(A358),1))</f>
        <v/>
      </c>
    </row>
    <row r="359" customFormat="false" ht="15" hidden="false" customHeight="false" outlineLevel="0" collapsed="false">
      <c r="A359" s="26"/>
      <c r="B359" s="4"/>
      <c r="C359" s="27" t="str">
        <f aca="false">IF(B359="","",IFERROR(INDEX(Listas!$C$5:$C$40,MATCH(B359,Listas!$B$5:$B$40,0)),"?"))</f>
        <v/>
      </c>
      <c r="D359" s="4"/>
      <c r="E359" s="4"/>
      <c r="F359" s="4"/>
      <c r="G359" s="28"/>
      <c r="H359" s="29" t="str">
        <f aca="false">IF(A359="","",DATE(YEAR(A359),MONTH(A359),1))</f>
        <v/>
      </c>
    </row>
    <row r="360" customFormat="false" ht="15" hidden="false" customHeight="false" outlineLevel="0" collapsed="false">
      <c r="A360" s="26"/>
      <c r="B360" s="4"/>
      <c r="C360" s="27" t="str">
        <f aca="false">IF(B360="","",IFERROR(INDEX(Listas!$C$5:$C$40,MATCH(B360,Listas!$B$5:$B$40,0)),"?"))</f>
        <v/>
      </c>
      <c r="D360" s="4"/>
      <c r="E360" s="4"/>
      <c r="F360" s="4"/>
      <c r="G360" s="28"/>
      <c r="H360" s="29" t="str">
        <f aca="false">IF(A360="","",DATE(YEAR(A360),MONTH(A360),1))</f>
        <v/>
      </c>
    </row>
    <row r="361" customFormat="false" ht="15" hidden="false" customHeight="false" outlineLevel="0" collapsed="false">
      <c r="A361" s="26"/>
      <c r="B361" s="4"/>
      <c r="C361" s="27" t="str">
        <f aca="false">IF(B361="","",IFERROR(INDEX(Listas!$C$5:$C$40,MATCH(B361,Listas!$B$5:$B$40,0)),"?"))</f>
        <v/>
      </c>
      <c r="D361" s="4"/>
      <c r="E361" s="4"/>
      <c r="F361" s="4"/>
      <c r="G361" s="28"/>
      <c r="H361" s="29" t="str">
        <f aca="false">IF(A361="","",DATE(YEAR(A361),MONTH(A361),1))</f>
        <v/>
      </c>
    </row>
    <row r="362" customFormat="false" ht="15" hidden="false" customHeight="false" outlineLevel="0" collapsed="false">
      <c r="A362" s="26"/>
      <c r="B362" s="4"/>
      <c r="C362" s="27" t="str">
        <f aca="false">IF(B362="","",IFERROR(INDEX(Listas!$C$5:$C$40,MATCH(B362,Listas!$B$5:$B$40,0)),"?"))</f>
        <v/>
      </c>
      <c r="D362" s="4"/>
      <c r="E362" s="4"/>
      <c r="F362" s="4"/>
      <c r="G362" s="28"/>
      <c r="H362" s="29" t="str">
        <f aca="false">IF(A362="","",DATE(YEAR(A362),MONTH(A362),1))</f>
        <v/>
      </c>
    </row>
    <row r="363" customFormat="false" ht="15" hidden="false" customHeight="false" outlineLevel="0" collapsed="false">
      <c r="A363" s="26"/>
      <c r="B363" s="4"/>
      <c r="C363" s="27" t="str">
        <f aca="false">IF(B363="","",IFERROR(INDEX(Listas!$C$5:$C$40,MATCH(B363,Listas!$B$5:$B$40,0)),"?"))</f>
        <v/>
      </c>
      <c r="D363" s="4"/>
      <c r="E363" s="4"/>
      <c r="F363" s="4"/>
      <c r="G363" s="28"/>
      <c r="H363" s="29" t="str">
        <f aca="false">IF(A363="","",DATE(YEAR(A363),MONTH(A363),1))</f>
        <v/>
      </c>
    </row>
    <row r="364" customFormat="false" ht="15" hidden="false" customHeight="false" outlineLevel="0" collapsed="false">
      <c r="A364" s="26"/>
      <c r="B364" s="4"/>
      <c r="C364" s="27" t="str">
        <f aca="false">IF(B364="","",IFERROR(INDEX(Listas!$C$5:$C$40,MATCH(B364,Listas!$B$5:$B$40,0)),"?"))</f>
        <v/>
      </c>
      <c r="D364" s="4"/>
      <c r="E364" s="4"/>
      <c r="F364" s="4"/>
      <c r="G364" s="28"/>
      <c r="H364" s="29" t="str">
        <f aca="false">IF(A364="","",DATE(YEAR(A364),MONTH(A364),1))</f>
        <v/>
      </c>
    </row>
    <row r="365" customFormat="false" ht="15" hidden="false" customHeight="false" outlineLevel="0" collapsed="false">
      <c r="A365" s="26"/>
      <c r="B365" s="4"/>
      <c r="C365" s="27" t="str">
        <f aca="false">IF(B365="","",IFERROR(INDEX(Listas!$C$5:$C$40,MATCH(B365,Listas!$B$5:$B$40,0)),"?"))</f>
        <v/>
      </c>
      <c r="D365" s="4"/>
      <c r="E365" s="4"/>
      <c r="F365" s="4"/>
      <c r="G365" s="28"/>
      <c r="H365" s="29" t="str">
        <f aca="false">IF(A365="","",DATE(YEAR(A365),MONTH(A365),1))</f>
        <v/>
      </c>
    </row>
    <row r="366" customFormat="false" ht="15" hidden="false" customHeight="false" outlineLevel="0" collapsed="false">
      <c r="A366" s="26"/>
      <c r="B366" s="4"/>
      <c r="C366" s="27" t="str">
        <f aca="false">IF(B366="","",IFERROR(INDEX(Listas!$C$5:$C$40,MATCH(B366,Listas!$B$5:$B$40,0)),"?"))</f>
        <v/>
      </c>
      <c r="D366" s="4"/>
      <c r="E366" s="4"/>
      <c r="F366" s="4"/>
      <c r="G366" s="28"/>
      <c r="H366" s="29" t="str">
        <f aca="false">IF(A366="","",DATE(YEAR(A366),MONTH(A366),1))</f>
        <v/>
      </c>
    </row>
    <row r="367" customFormat="false" ht="15" hidden="false" customHeight="false" outlineLevel="0" collapsed="false">
      <c r="A367" s="26"/>
      <c r="B367" s="4"/>
      <c r="C367" s="27" t="str">
        <f aca="false">IF(B367="","",IFERROR(INDEX(Listas!$C$5:$C$40,MATCH(B367,Listas!$B$5:$B$40,0)),"?"))</f>
        <v/>
      </c>
      <c r="D367" s="4"/>
      <c r="E367" s="4"/>
      <c r="F367" s="4"/>
      <c r="G367" s="28"/>
      <c r="H367" s="29" t="str">
        <f aca="false">IF(A367="","",DATE(YEAR(A367),MONTH(A367),1))</f>
        <v/>
      </c>
    </row>
    <row r="368" customFormat="false" ht="15" hidden="false" customHeight="false" outlineLevel="0" collapsed="false">
      <c r="A368" s="26"/>
      <c r="B368" s="4"/>
      <c r="C368" s="27" t="str">
        <f aca="false">IF(B368="","",IFERROR(INDEX(Listas!$C$5:$C$40,MATCH(B368,Listas!$B$5:$B$40,0)),"?"))</f>
        <v/>
      </c>
      <c r="D368" s="4"/>
      <c r="E368" s="4"/>
      <c r="F368" s="4"/>
      <c r="G368" s="28"/>
      <c r="H368" s="29" t="str">
        <f aca="false">IF(A368="","",DATE(YEAR(A368),MONTH(A368),1))</f>
        <v/>
      </c>
    </row>
    <row r="369" customFormat="false" ht="15" hidden="false" customHeight="false" outlineLevel="0" collapsed="false">
      <c r="A369" s="26"/>
      <c r="B369" s="4"/>
      <c r="C369" s="27" t="str">
        <f aca="false">IF(B369="","",IFERROR(INDEX(Listas!$C$5:$C$40,MATCH(B369,Listas!$B$5:$B$40,0)),"?"))</f>
        <v/>
      </c>
      <c r="D369" s="4"/>
      <c r="E369" s="4"/>
      <c r="F369" s="4"/>
      <c r="G369" s="28"/>
      <c r="H369" s="29" t="str">
        <f aca="false">IF(A369="","",DATE(YEAR(A369),MONTH(A369),1))</f>
        <v/>
      </c>
    </row>
    <row r="370" customFormat="false" ht="15" hidden="false" customHeight="false" outlineLevel="0" collapsed="false">
      <c r="A370" s="26"/>
      <c r="B370" s="4"/>
      <c r="C370" s="27" t="str">
        <f aca="false">IF(B370="","",IFERROR(INDEX(Listas!$C$5:$C$40,MATCH(B370,Listas!$B$5:$B$40,0)),"?"))</f>
        <v/>
      </c>
      <c r="D370" s="4"/>
      <c r="E370" s="4"/>
      <c r="F370" s="4"/>
      <c r="G370" s="28"/>
      <c r="H370" s="29" t="str">
        <f aca="false">IF(A370="","",DATE(YEAR(A370),MONTH(A370),1))</f>
        <v/>
      </c>
    </row>
    <row r="371" customFormat="false" ht="15" hidden="false" customHeight="false" outlineLevel="0" collapsed="false">
      <c r="A371" s="26"/>
      <c r="B371" s="4"/>
      <c r="C371" s="27" t="str">
        <f aca="false">IF(B371="","",IFERROR(INDEX(Listas!$C$5:$C$40,MATCH(B371,Listas!$B$5:$B$40,0)),"?"))</f>
        <v/>
      </c>
      <c r="D371" s="4"/>
      <c r="E371" s="4"/>
      <c r="F371" s="4"/>
      <c r="G371" s="28"/>
      <c r="H371" s="29" t="str">
        <f aca="false">IF(A371="","",DATE(YEAR(A371),MONTH(A371),1))</f>
        <v/>
      </c>
    </row>
    <row r="372" customFormat="false" ht="15" hidden="false" customHeight="false" outlineLevel="0" collapsed="false">
      <c r="A372" s="26"/>
      <c r="B372" s="4"/>
      <c r="C372" s="27" t="str">
        <f aca="false">IF(B372="","",IFERROR(INDEX(Listas!$C$5:$C$40,MATCH(B372,Listas!$B$5:$B$40,0)),"?"))</f>
        <v/>
      </c>
      <c r="D372" s="4"/>
      <c r="E372" s="4"/>
      <c r="F372" s="4"/>
      <c r="G372" s="28"/>
      <c r="H372" s="29" t="str">
        <f aca="false">IF(A372="","",DATE(YEAR(A372),MONTH(A372),1))</f>
        <v/>
      </c>
    </row>
    <row r="373" customFormat="false" ht="15" hidden="false" customHeight="false" outlineLevel="0" collapsed="false">
      <c r="A373" s="26"/>
      <c r="B373" s="4"/>
      <c r="C373" s="27" t="str">
        <f aca="false">IF(B373="","",IFERROR(INDEX(Listas!$C$5:$C$40,MATCH(B373,Listas!$B$5:$B$40,0)),"?"))</f>
        <v/>
      </c>
      <c r="D373" s="4"/>
      <c r="E373" s="4"/>
      <c r="F373" s="4"/>
      <c r="G373" s="28"/>
      <c r="H373" s="29" t="str">
        <f aca="false">IF(A373="","",DATE(YEAR(A373),MONTH(A373),1))</f>
        <v/>
      </c>
    </row>
    <row r="374" customFormat="false" ht="15" hidden="false" customHeight="false" outlineLevel="0" collapsed="false">
      <c r="A374" s="26"/>
      <c r="B374" s="4"/>
      <c r="C374" s="27" t="str">
        <f aca="false">IF(B374="","",IFERROR(INDEX(Listas!$C$5:$C$40,MATCH(B374,Listas!$B$5:$B$40,0)),"?"))</f>
        <v/>
      </c>
      <c r="D374" s="4"/>
      <c r="E374" s="4"/>
      <c r="F374" s="4"/>
      <c r="G374" s="28"/>
      <c r="H374" s="29" t="str">
        <f aca="false">IF(A374="","",DATE(YEAR(A374),MONTH(A374),1))</f>
        <v/>
      </c>
    </row>
    <row r="375" customFormat="false" ht="15" hidden="false" customHeight="false" outlineLevel="0" collapsed="false">
      <c r="A375" s="26"/>
      <c r="B375" s="4"/>
      <c r="C375" s="27" t="str">
        <f aca="false">IF(B375="","",IFERROR(INDEX(Listas!$C$5:$C$40,MATCH(B375,Listas!$B$5:$B$40,0)),"?"))</f>
        <v/>
      </c>
      <c r="D375" s="4"/>
      <c r="E375" s="4"/>
      <c r="F375" s="4"/>
      <c r="G375" s="28"/>
      <c r="H375" s="29" t="str">
        <f aca="false">IF(A375="","",DATE(YEAR(A375),MONTH(A375),1))</f>
        <v/>
      </c>
    </row>
    <row r="376" customFormat="false" ht="15" hidden="false" customHeight="false" outlineLevel="0" collapsed="false">
      <c r="A376" s="26"/>
      <c r="B376" s="4"/>
      <c r="C376" s="27" t="str">
        <f aca="false">IF(B376="","",IFERROR(INDEX(Listas!$C$5:$C$40,MATCH(B376,Listas!$B$5:$B$40,0)),"?"))</f>
        <v/>
      </c>
      <c r="D376" s="4"/>
      <c r="E376" s="4"/>
      <c r="F376" s="4"/>
      <c r="G376" s="28"/>
      <c r="H376" s="29" t="str">
        <f aca="false">IF(A376="","",DATE(YEAR(A376),MONTH(A376),1))</f>
        <v/>
      </c>
    </row>
    <row r="377" customFormat="false" ht="15" hidden="false" customHeight="false" outlineLevel="0" collapsed="false">
      <c r="A377" s="26"/>
      <c r="B377" s="4"/>
      <c r="C377" s="27" t="str">
        <f aca="false">IF(B377="","",IFERROR(INDEX(Listas!$C$5:$C$40,MATCH(B377,Listas!$B$5:$B$40,0)),"?"))</f>
        <v/>
      </c>
      <c r="D377" s="4"/>
      <c r="E377" s="4"/>
      <c r="F377" s="4"/>
      <c r="G377" s="28"/>
      <c r="H377" s="29" t="str">
        <f aca="false">IF(A377="","",DATE(YEAR(A377),MONTH(A377),1))</f>
        <v/>
      </c>
    </row>
    <row r="378" customFormat="false" ht="15" hidden="false" customHeight="false" outlineLevel="0" collapsed="false">
      <c r="A378" s="26"/>
      <c r="B378" s="4"/>
      <c r="C378" s="27" t="str">
        <f aca="false">IF(B378="","",IFERROR(INDEX(Listas!$C$5:$C$40,MATCH(B378,Listas!$B$5:$B$40,0)),"?"))</f>
        <v/>
      </c>
      <c r="D378" s="4"/>
      <c r="E378" s="4"/>
      <c r="F378" s="4"/>
      <c r="G378" s="28"/>
      <c r="H378" s="29" t="str">
        <f aca="false">IF(A378="","",DATE(YEAR(A378),MONTH(A378),1))</f>
        <v/>
      </c>
    </row>
    <row r="379" customFormat="false" ht="15" hidden="false" customHeight="false" outlineLevel="0" collapsed="false">
      <c r="A379" s="26"/>
      <c r="B379" s="4"/>
      <c r="C379" s="27" t="str">
        <f aca="false">IF(B379="","",IFERROR(INDEX(Listas!$C$5:$C$40,MATCH(B379,Listas!$B$5:$B$40,0)),"?"))</f>
        <v/>
      </c>
      <c r="D379" s="4"/>
      <c r="E379" s="4"/>
      <c r="F379" s="4"/>
      <c r="G379" s="28"/>
      <c r="H379" s="29" t="str">
        <f aca="false">IF(A379="","",DATE(YEAR(A379),MONTH(A379),1))</f>
        <v/>
      </c>
    </row>
    <row r="380" customFormat="false" ht="15" hidden="false" customHeight="false" outlineLevel="0" collapsed="false">
      <c r="A380" s="26"/>
      <c r="B380" s="4"/>
      <c r="C380" s="27" t="str">
        <f aca="false">IF(B380="","",IFERROR(INDEX(Listas!$C$5:$C$40,MATCH(B380,Listas!$B$5:$B$40,0)),"?"))</f>
        <v/>
      </c>
      <c r="D380" s="4"/>
      <c r="E380" s="4"/>
      <c r="F380" s="4"/>
      <c r="G380" s="28"/>
      <c r="H380" s="29" t="str">
        <f aca="false">IF(A380="","",DATE(YEAR(A380),MONTH(A380),1))</f>
        <v/>
      </c>
    </row>
    <row r="381" customFormat="false" ht="15" hidden="false" customHeight="false" outlineLevel="0" collapsed="false">
      <c r="A381" s="26"/>
      <c r="B381" s="4"/>
      <c r="C381" s="27" t="str">
        <f aca="false">IF(B381="","",IFERROR(INDEX(Listas!$C$5:$C$40,MATCH(B381,Listas!$B$5:$B$40,0)),"?"))</f>
        <v/>
      </c>
      <c r="D381" s="4"/>
      <c r="E381" s="4"/>
      <c r="F381" s="4"/>
      <c r="G381" s="28"/>
      <c r="H381" s="29" t="str">
        <f aca="false">IF(A381="","",DATE(YEAR(A381),MONTH(A381),1))</f>
        <v/>
      </c>
    </row>
    <row r="382" customFormat="false" ht="15" hidden="false" customHeight="false" outlineLevel="0" collapsed="false">
      <c r="A382" s="26"/>
      <c r="B382" s="4"/>
      <c r="C382" s="27" t="str">
        <f aca="false">IF(B382="","",IFERROR(INDEX(Listas!$C$5:$C$40,MATCH(B382,Listas!$B$5:$B$40,0)),"?"))</f>
        <v/>
      </c>
      <c r="D382" s="4"/>
      <c r="E382" s="4"/>
      <c r="F382" s="4"/>
      <c r="G382" s="28"/>
      <c r="H382" s="29" t="str">
        <f aca="false">IF(A382="","",DATE(YEAR(A382),MONTH(A382),1))</f>
        <v/>
      </c>
    </row>
    <row r="383" customFormat="false" ht="15" hidden="false" customHeight="false" outlineLevel="0" collapsed="false">
      <c r="A383" s="26"/>
      <c r="B383" s="4"/>
      <c r="C383" s="27" t="str">
        <f aca="false">IF(B383="","",IFERROR(INDEX(Listas!$C$5:$C$40,MATCH(B383,Listas!$B$5:$B$40,0)),"?"))</f>
        <v/>
      </c>
      <c r="D383" s="4"/>
      <c r="E383" s="4"/>
      <c r="F383" s="4"/>
      <c r="G383" s="28"/>
      <c r="H383" s="29" t="str">
        <f aca="false">IF(A383="","",DATE(YEAR(A383),MONTH(A383),1))</f>
        <v/>
      </c>
    </row>
    <row r="384" customFormat="false" ht="15" hidden="false" customHeight="false" outlineLevel="0" collapsed="false">
      <c r="A384" s="26"/>
      <c r="B384" s="4"/>
      <c r="C384" s="27" t="str">
        <f aca="false">IF(B384="","",IFERROR(INDEX(Listas!$C$5:$C$40,MATCH(B384,Listas!$B$5:$B$40,0)),"?"))</f>
        <v/>
      </c>
      <c r="D384" s="4"/>
      <c r="E384" s="4"/>
      <c r="F384" s="4"/>
      <c r="G384" s="28"/>
      <c r="H384" s="29" t="str">
        <f aca="false">IF(A384="","",DATE(YEAR(A384),MONTH(A384),1))</f>
        <v/>
      </c>
    </row>
    <row r="385" customFormat="false" ht="15" hidden="false" customHeight="false" outlineLevel="0" collapsed="false">
      <c r="A385" s="26"/>
      <c r="B385" s="4"/>
      <c r="C385" s="27" t="str">
        <f aca="false">IF(B385="","",IFERROR(INDEX(Listas!$C$5:$C$40,MATCH(B385,Listas!$B$5:$B$40,0)),"?"))</f>
        <v/>
      </c>
      <c r="D385" s="4"/>
      <c r="E385" s="4"/>
      <c r="F385" s="4"/>
      <c r="G385" s="28"/>
      <c r="H385" s="29" t="str">
        <f aca="false">IF(A385="","",DATE(YEAR(A385),MONTH(A385),1))</f>
        <v/>
      </c>
    </row>
    <row r="386" customFormat="false" ht="15" hidden="false" customHeight="false" outlineLevel="0" collapsed="false">
      <c r="A386" s="26"/>
      <c r="B386" s="4"/>
      <c r="C386" s="27" t="str">
        <f aca="false">IF(B386="","",IFERROR(INDEX(Listas!$C$5:$C$40,MATCH(B386,Listas!$B$5:$B$40,0)),"?"))</f>
        <v/>
      </c>
      <c r="D386" s="4"/>
      <c r="E386" s="4"/>
      <c r="F386" s="4"/>
      <c r="G386" s="28"/>
      <c r="H386" s="29" t="str">
        <f aca="false">IF(A386="","",DATE(YEAR(A386),MONTH(A386),1))</f>
        <v/>
      </c>
    </row>
    <row r="387" customFormat="false" ht="15" hidden="false" customHeight="false" outlineLevel="0" collapsed="false">
      <c r="A387" s="26"/>
      <c r="B387" s="4"/>
      <c r="C387" s="27" t="str">
        <f aca="false">IF(B387="","",IFERROR(INDEX(Listas!$C$5:$C$40,MATCH(B387,Listas!$B$5:$B$40,0)),"?"))</f>
        <v/>
      </c>
      <c r="D387" s="4"/>
      <c r="E387" s="4"/>
      <c r="F387" s="4"/>
      <c r="G387" s="28"/>
      <c r="H387" s="29" t="str">
        <f aca="false">IF(A387="","",DATE(YEAR(A387),MONTH(A387),1))</f>
        <v/>
      </c>
    </row>
    <row r="388" customFormat="false" ht="15" hidden="false" customHeight="false" outlineLevel="0" collapsed="false">
      <c r="A388" s="26"/>
      <c r="B388" s="4"/>
      <c r="C388" s="27" t="str">
        <f aca="false">IF(B388="","",IFERROR(INDEX(Listas!$C$5:$C$40,MATCH(B388,Listas!$B$5:$B$40,0)),"?"))</f>
        <v/>
      </c>
      <c r="D388" s="4"/>
      <c r="E388" s="4"/>
      <c r="F388" s="4"/>
      <c r="G388" s="28"/>
      <c r="H388" s="29" t="str">
        <f aca="false">IF(A388="","",DATE(YEAR(A388),MONTH(A388),1))</f>
        <v/>
      </c>
    </row>
    <row r="389" customFormat="false" ht="15" hidden="false" customHeight="false" outlineLevel="0" collapsed="false">
      <c r="A389" s="26"/>
      <c r="B389" s="4"/>
      <c r="C389" s="27" t="str">
        <f aca="false">IF(B389="","",IFERROR(INDEX(Listas!$C$5:$C$40,MATCH(B389,Listas!$B$5:$B$40,0)),"?"))</f>
        <v/>
      </c>
      <c r="D389" s="4"/>
      <c r="E389" s="4"/>
      <c r="F389" s="4"/>
      <c r="G389" s="28"/>
      <c r="H389" s="29" t="str">
        <f aca="false">IF(A389="","",DATE(YEAR(A389),MONTH(A389),1))</f>
        <v/>
      </c>
    </row>
    <row r="390" customFormat="false" ht="15" hidden="false" customHeight="false" outlineLevel="0" collapsed="false">
      <c r="A390" s="26"/>
      <c r="B390" s="4"/>
      <c r="C390" s="27" t="str">
        <f aca="false">IF(B390="","",IFERROR(INDEX(Listas!$C$5:$C$40,MATCH(B390,Listas!$B$5:$B$40,0)),"?"))</f>
        <v/>
      </c>
      <c r="D390" s="4"/>
      <c r="E390" s="4"/>
      <c r="F390" s="4"/>
      <c r="G390" s="28"/>
      <c r="H390" s="29" t="str">
        <f aca="false">IF(A390="","",DATE(YEAR(A390),MONTH(A390),1))</f>
        <v/>
      </c>
    </row>
    <row r="391" customFormat="false" ht="15" hidden="false" customHeight="false" outlineLevel="0" collapsed="false">
      <c r="A391" s="26"/>
      <c r="B391" s="4"/>
      <c r="C391" s="27" t="str">
        <f aca="false">IF(B391="","",IFERROR(INDEX(Listas!$C$5:$C$40,MATCH(B391,Listas!$B$5:$B$40,0)),"?"))</f>
        <v/>
      </c>
      <c r="D391" s="4"/>
      <c r="E391" s="4"/>
      <c r="F391" s="4"/>
      <c r="G391" s="28"/>
      <c r="H391" s="29" t="str">
        <f aca="false">IF(A391="","",DATE(YEAR(A391),MONTH(A391),1))</f>
        <v/>
      </c>
    </row>
    <row r="392" customFormat="false" ht="15" hidden="false" customHeight="false" outlineLevel="0" collapsed="false">
      <c r="A392" s="26"/>
      <c r="B392" s="4"/>
      <c r="C392" s="27" t="str">
        <f aca="false">IF(B392="","",IFERROR(INDEX(Listas!$C$5:$C$40,MATCH(B392,Listas!$B$5:$B$40,0)),"?"))</f>
        <v/>
      </c>
      <c r="D392" s="4"/>
      <c r="E392" s="4"/>
      <c r="F392" s="4"/>
      <c r="G392" s="28"/>
      <c r="H392" s="29" t="str">
        <f aca="false">IF(A392="","",DATE(YEAR(A392),MONTH(A392),1))</f>
        <v/>
      </c>
    </row>
    <row r="393" customFormat="false" ht="15" hidden="false" customHeight="false" outlineLevel="0" collapsed="false">
      <c r="A393" s="26"/>
      <c r="B393" s="4"/>
      <c r="C393" s="27" t="str">
        <f aca="false">IF(B393="","",IFERROR(INDEX(Listas!$C$5:$C$40,MATCH(B393,Listas!$B$5:$B$40,0)),"?"))</f>
        <v/>
      </c>
      <c r="D393" s="4"/>
      <c r="E393" s="4"/>
      <c r="F393" s="4"/>
      <c r="G393" s="28"/>
      <c r="H393" s="29" t="str">
        <f aca="false">IF(A393="","",DATE(YEAR(A393),MONTH(A393),1))</f>
        <v/>
      </c>
    </row>
    <row r="394" customFormat="false" ht="15" hidden="false" customHeight="false" outlineLevel="0" collapsed="false">
      <c r="A394" s="26"/>
      <c r="B394" s="4"/>
      <c r="C394" s="27" t="str">
        <f aca="false">IF(B394="","",IFERROR(INDEX(Listas!$C$5:$C$40,MATCH(B394,Listas!$B$5:$B$40,0)),"?"))</f>
        <v/>
      </c>
      <c r="D394" s="4"/>
      <c r="E394" s="4"/>
      <c r="F394" s="4"/>
      <c r="G394" s="28"/>
      <c r="H394" s="29" t="str">
        <f aca="false">IF(A394="","",DATE(YEAR(A394),MONTH(A394),1))</f>
        <v/>
      </c>
    </row>
    <row r="395" customFormat="false" ht="15" hidden="false" customHeight="false" outlineLevel="0" collapsed="false">
      <c r="A395" s="26"/>
      <c r="B395" s="4"/>
      <c r="C395" s="27" t="str">
        <f aca="false">IF(B395="","",IFERROR(INDEX(Listas!$C$5:$C$40,MATCH(B395,Listas!$B$5:$B$40,0)),"?"))</f>
        <v/>
      </c>
      <c r="D395" s="4"/>
      <c r="E395" s="4"/>
      <c r="F395" s="4"/>
      <c r="G395" s="28"/>
      <c r="H395" s="29" t="str">
        <f aca="false">IF(A395="","",DATE(YEAR(A395),MONTH(A395),1))</f>
        <v/>
      </c>
    </row>
    <row r="396" customFormat="false" ht="15" hidden="false" customHeight="false" outlineLevel="0" collapsed="false">
      <c r="A396" s="26"/>
      <c r="B396" s="4"/>
      <c r="C396" s="27" t="str">
        <f aca="false">IF(B396="","",IFERROR(INDEX(Listas!$C$5:$C$40,MATCH(B396,Listas!$B$5:$B$40,0)),"?"))</f>
        <v/>
      </c>
      <c r="D396" s="4"/>
      <c r="E396" s="4"/>
      <c r="F396" s="4"/>
      <c r="G396" s="28"/>
      <c r="H396" s="29" t="str">
        <f aca="false">IF(A396="","",DATE(YEAR(A396),MONTH(A396),1))</f>
        <v/>
      </c>
    </row>
    <row r="397" customFormat="false" ht="15" hidden="false" customHeight="false" outlineLevel="0" collapsed="false">
      <c r="A397" s="26"/>
      <c r="B397" s="4"/>
      <c r="C397" s="27" t="str">
        <f aca="false">IF(B397="","",IFERROR(INDEX(Listas!$C$5:$C$40,MATCH(B397,Listas!$B$5:$B$40,0)),"?"))</f>
        <v/>
      </c>
      <c r="D397" s="4"/>
      <c r="E397" s="4"/>
      <c r="F397" s="4"/>
      <c r="G397" s="28"/>
      <c r="H397" s="29" t="str">
        <f aca="false">IF(A397="","",DATE(YEAR(A397),MONTH(A397),1))</f>
        <v/>
      </c>
    </row>
    <row r="398" customFormat="false" ht="15" hidden="false" customHeight="false" outlineLevel="0" collapsed="false">
      <c r="A398" s="26"/>
      <c r="B398" s="4"/>
      <c r="C398" s="27" t="str">
        <f aca="false">IF(B398="","",IFERROR(INDEX(Listas!$C$5:$C$40,MATCH(B398,Listas!$B$5:$B$40,0)),"?"))</f>
        <v/>
      </c>
      <c r="D398" s="4"/>
      <c r="E398" s="4"/>
      <c r="F398" s="4"/>
      <c r="G398" s="28"/>
      <c r="H398" s="29" t="str">
        <f aca="false">IF(A398="","",DATE(YEAR(A398),MONTH(A398),1))</f>
        <v/>
      </c>
    </row>
    <row r="399" customFormat="false" ht="15" hidden="false" customHeight="false" outlineLevel="0" collapsed="false">
      <c r="A399" s="26"/>
      <c r="B399" s="4"/>
      <c r="C399" s="27" t="str">
        <f aca="false">IF(B399="","",IFERROR(INDEX(Listas!$C$5:$C$40,MATCH(B399,Listas!$B$5:$B$40,0)),"?"))</f>
        <v/>
      </c>
      <c r="D399" s="4"/>
      <c r="E399" s="4"/>
      <c r="F399" s="4"/>
      <c r="G399" s="28"/>
      <c r="H399" s="29" t="str">
        <f aca="false">IF(A399="","",DATE(YEAR(A399),MONTH(A399),1))</f>
        <v/>
      </c>
    </row>
    <row r="400" customFormat="false" ht="15" hidden="false" customHeight="false" outlineLevel="0" collapsed="false">
      <c r="A400" s="26"/>
      <c r="B400" s="4"/>
      <c r="C400" s="27" t="str">
        <f aca="false">IF(B400="","",IFERROR(INDEX(Listas!$C$5:$C$40,MATCH(B400,Listas!$B$5:$B$40,0)),"?"))</f>
        <v/>
      </c>
      <c r="D400" s="4"/>
      <c r="E400" s="4"/>
      <c r="F400" s="4"/>
      <c r="G400" s="28"/>
      <c r="H400" s="29" t="str">
        <f aca="false">IF(A400="","",DATE(YEAR(A400),MONTH(A400),1))</f>
        <v/>
      </c>
    </row>
    <row r="401" customFormat="false" ht="15" hidden="false" customHeight="false" outlineLevel="0" collapsed="false">
      <c r="A401" s="26"/>
      <c r="B401" s="4"/>
      <c r="C401" s="27" t="str">
        <f aca="false">IF(B401="","",IFERROR(INDEX(Listas!$C$5:$C$40,MATCH(B401,Listas!$B$5:$B$40,0)),"?"))</f>
        <v/>
      </c>
      <c r="D401" s="4"/>
      <c r="E401" s="4"/>
      <c r="F401" s="4"/>
      <c r="G401" s="28"/>
      <c r="H401" s="29" t="str">
        <f aca="false">IF(A401="","",DATE(YEAR(A401),MONTH(A401),1))</f>
        <v/>
      </c>
    </row>
    <row r="402" customFormat="false" ht="15" hidden="false" customHeight="false" outlineLevel="0" collapsed="false">
      <c r="A402" s="26"/>
      <c r="B402" s="4"/>
      <c r="C402" s="27" t="str">
        <f aca="false">IF(B402="","",IFERROR(INDEX(Listas!$C$5:$C$40,MATCH(B402,Listas!$B$5:$B$40,0)),"?"))</f>
        <v/>
      </c>
      <c r="D402" s="4"/>
      <c r="E402" s="4"/>
      <c r="F402" s="4"/>
      <c r="G402" s="28"/>
      <c r="H402" s="29" t="str">
        <f aca="false">IF(A402="","",DATE(YEAR(A402),MONTH(A402),1))</f>
        <v/>
      </c>
    </row>
    <row r="403" customFormat="false" ht="15" hidden="false" customHeight="false" outlineLevel="0" collapsed="false">
      <c r="A403" s="26"/>
      <c r="B403" s="4"/>
      <c r="C403" s="27" t="str">
        <f aca="false">IF(B403="","",IFERROR(INDEX(Listas!$C$5:$C$40,MATCH(B403,Listas!$B$5:$B$40,0)),"?"))</f>
        <v/>
      </c>
      <c r="D403" s="4"/>
      <c r="E403" s="4"/>
      <c r="F403" s="4"/>
      <c r="G403" s="28"/>
      <c r="H403" s="29" t="str">
        <f aca="false">IF(A403="","",DATE(YEAR(A403),MONTH(A403),1))</f>
        <v/>
      </c>
    </row>
    <row r="404" customFormat="false" ht="15" hidden="false" customHeight="false" outlineLevel="0" collapsed="false">
      <c r="A404" s="26"/>
      <c r="B404" s="4"/>
      <c r="C404" s="27" t="str">
        <f aca="false">IF(B404="","",IFERROR(INDEX(Listas!$C$5:$C$40,MATCH(B404,Listas!$B$5:$B$40,0)),"?"))</f>
        <v/>
      </c>
      <c r="D404" s="4"/>
      <c r="E404" s="4"/>
      <c r="F404" s="4"/>
      <c r="G404" s="28"/>
      <c r="H404" s="29" t="str">
        <f aca="false">IF(A404="","",DATE(YEAR(A404),MONTH(A404),1))</f>
        <v/>
      </c>
    </row>
    <row r="405" customFormat="false" ht="15" hidden="false" customHeight="false" outlineLevel="0" collapsed="false">
      <c r="A405" s="26"/>
      <c r="B405" s="4"/>
      <c r="C405" s="27" t="str">
        <f aca="false">IF(B405="","",IFERROR(INDEX(Listas!$C$5:$C$40,MATCH(B405,Listas!$B$5:$B$40,0)),"?"))</f>
        <v/>
      </c>
      <c r="D405" s="4"/>
      <c r="E405" s="4"/>
      <c r="F405" s="4"/>
      <c r="G405" s="28"/>
      <c r="H405" s="29" t="str">
        <f aca="false">IF(A405="","",DATE(YEAR(A405),MONTH(A405),1))</f>
        <v/>
      </c>
    </row>
    <row r="406" customFormat="false" ht="15" hidden="false" customHeight="false" outlineLevel="0" collapsed="false">
      <c r="A406" s="26"/>
      <c r="B406" s="4"/>
      <c r="C406" s="27" t="str">
        <f aca="false">IF(B406="","",IFERROR(INDEX(Listas!$C$5:$C$40,MATCH(B406,Listas!$B$5:$B$40,0)),"?"))</f>
        <v/>
      </c>
      <c r="D406" s="4"/>
      <c r="E406" s="4"/>
      <c r="F406" s="4"/>
      <c r="G406" s="28"/>
      <c r="H406" s="29" t="str">
        <f aca="false">IF(A406="","",DATE(YEAR(A406),MONTH(A406),1))</f>
        <v/>
      </c>
    </row>
    <row r="407" customFormat="false" ht="15" hidden="false" customHeight="false" outlineLevel="0" collapsed="false">
      <c r="A407" s="26"/>
      <c r="B407" s="4"/>
      <c r="C407" s="27" t="str">
        <f aca="false">IF(B407="","",IFERROR(INDEX(Listas!$C$5:$C$40,MATCH(B407,Listas!$B$5:$B$40,0)),"?"))</f>
        <v/>
      </c>
      <c r="D407" s="4"/>
      <c r="E407" s="4"/>
      <c r="F407" s="4"/>
      <c r="G407" s="28"/>
      <c r="H407" s="29" t="str">
        <f aca="false">IF(A407="","",DATE(YEAR(A407),MONTH(A407),1))</f>
        <v/>
      </c>
    </row>
    <row r="408" customFormat="false" ht="15" hidden="false" customHeight="false" outlineLevel="0" collapsed="false">
      <c r="A408" s="26"/>
      <c r="B408" s="4"/>
      <c r="C408" s="27" t="str">
        <f aca="false">IF(B408="","",IFERROR(INDEX(Listas!$C$5:$C$40,MATCH(B408,Listas!$B$5:$B$40,0)),"?"))</f>
        <v/>
      </c>
      <c r="D408" s="4"/>
      <c r="E408" s="4"/>
      <c r="F408" s="4"/>
      <c r="G408" s="28"/>
      <c r="H408" s="29" t="str">
        <f aca="false">IF(A408="","",DATE(YEAR(A408),MONTH(A408),1))</f>
        <v/>
      </c>
    </row>
    <row r="409" customFormat="false" ht="15" hidden="false" customHeight="false" outlineLevel="0" collapsed="false">
      <c r="A409" s="26"/>
      <c r="B409" s="4"/>
      <c r="C409" s="27" t="str">
        <f aca="false">IF(B409="","",IFERROR(INDEX(Listas!$C$5:$C$40,MATCH(B409,Listas!$B$5:$B$40,0)),"?"))</f>
        <v/>
      </c>
      <c r="D409" s="4"/>
      <c r="E409" s="4"/>
      <c r="F409" s="4"/>
      <c r="G409" s="28"/>
      <c r="H409" s="29" t="str">
        <f aca="false">IF(A409="","",DATE(YEAR(A409),MONTH(A409),1))</f>
        <v/>
      </c>
    </row>
    <row r="410" customFormat="false" ht="15" hidden="false" customHeight="false" outlineLevel="0" collapsed="false">
      <c r="A410" s="26"/>
      <c r="B410" s="4"/>
      <c r="C410" s="27" t="str">
        <f aca="false">IF(B410="","",IFERROR(INDEX(Listas!$C$5:$C$40,MATCH(B410,Listas!$B$5:$B$40,0)),"?"))</f>
        <v/>
      </c>
      <c r="D410" s="4"/>
      <c r="E410" s="4"/>
      <c r="F410" s="4"/>
      <c r="G410" s="28"/>
      <c r="H410" s="29" t="str">
        <f aca="false">IF(A410="","",DATE(YEAR(A410),MONTH(A410),1))</f>
        <v/>
      </c>
    </row>
    <row r="411" customFormat="false" ht="15" hidden="false" customHeight="false" outlineLevel="0" collapsed="false">
      <c r="A411" s="26"/>
      <c r="B411" s="4"/>
      <c r="C411" s="27" t="str">
        <f aca="false">IF(B411="","",IFERROR(INDEX(Listas!$C$5:$C$40,MATCH(B411,Listas!$B$5:$B$40,0)),"?"))</f>
        <v/>
      </c>
      <c r="D411" s="4"/>
      <c r="E411" s="4"/>
      <c r="F411" s="4"/>
      <c r="G411" s="28"/>
      <c r="H411" s="29" t="str">
        <f aca="false">IF(A411="","",DATE(YEAR(A411),MONTH(A411),1))</f>
        <v/>
      </c>
    </row>
    <row r="412" customFormat="false" ht="15" hidden="false" customHeight="false" outlineLevel="0" collapsed="false">
      <c r="A412" s="26"/>
      <c r="B412" s="4"/>
      <c r="C412" s="27" t="str">
        <f aca="false">IF(B412="","",IFERROR(INDEX(Listas!$C$5:$C$40,MATCH(B412,Listas!$B$5:$B$40,0)),"?"))</f>
        <v/>
      </c>
      <c r="D412" s="4"/>
      <c r="E412" s="4"/>
      <c r="F412" s="4"/>
      <c r="G412" s="28"/>
      <c r="H412" s="29" t="str">
        <f aca="false">IF(A412="","",DATE(YEAR(A412),MONTH(A412),1))</f>
        <v/>
      </c>
    </row>
    <row r="413" customFormat="false" ht="15" hidden="false" customHeight="false" outlineLevel="0" collapsed="false">
      <c r="A413" s="26"/>
      <c r="B413" s="4"/>
      <c r="C413" s="27" t="str">
        <f aca="false">IF(B413="","",IFERROR(INDEX(Listas!$C$5:$C$40,MATCH(B413,Listas!$B$5:$B$40,0)),"?"))</f>
        <v/>
      </c>
      <c r="D413" s="4"/>
      <c r="E413" s="4"/>
      <c r="F413" s="4"/>
      <c r="G413" s="28"/>
      <c r="H413" s="29" t="str">
        <f aca="false">IF(A413="","",DATE(YEAR(A413),MONTH(A413),1))</f>
        <v/>
      </c>
    </row>
    <row r="414" customFormat="false" ht="15" hidden="false" customHeight="false" outlineLevel="0" collapsed="false">
      <c r="A414" s="26"/>
      <c r="B414" s="4"/>
      <c r="C414" s="27" t="str">
        <f aca="false">IF(B414="","",IFERROR(INDEX(Listas!$C$5:$C$40,MATCH(B414,Listas!$B$5:$B$40,0)),"?"))</f>
        <v/>
      </c>
      <c r="D414" s="4"/>
      <c r="E414" s="4"/>
      <c r="F414" s="4"/>
      <c r="G414" s="28"/>
      <c r="H414" s="29" t="str">
        <f aca="false">IF(A414="","",DATE(YEAR(A414),MONTH(A414),1))</f>
        <v/>
      </c>
    </row>
    <row r="415" customFormat="false" ht="15" hidden="false" customHeight="false" outlineLevel="0" collapsed="false">
      <c r="A415" s="26"/>
      <c r="B415" s="4"/>
      <c r="C415" s="27" t="str">
        <f aca="false">IF(B415="","",IFERROR(INDEX(Listas!$C$5:$C$40,MATCH(B415,Listas!$B$5:$B$40,0)),"?"))</f>
        <v/>
      </c>
      <c r="D415" s="4"/>
      <c r="E415" s="4"/>
      <c r="F415" s="4"/>
      <c r="G415" s="28"/>
      <c r="H415" s="29" t="str">
        <f aca="false">IF(A415="","",DATE(YEAR(A415),MONTH(A415),1))</f>
        <v/>
      </c>
    </row>
    <row r="416" customFormat="false" ht="15" hidden="false" customHeight="false" outlineLevel="0" collapsed="false">
      <c r="A416" s="26"/>
      <c r="B416" s="4"/>
      <c r="C416" s="27" t="str">
        <f aca="false">IF(B416="","",IFERROR(INDEX(Listas!$C$5:$C$40,MATCH(B416,Listas!$B$5:$B$40,0)),"?"))</f>
        <v/>
      </c>
      <c r="D416" s="4"/>
      <c r="E416" s="4"/>
      <c r="F416" s="4"/>
      <c r="G416" s="28"/>
      <c r="H416" s="29" t="str">
        <f aca="false">IF(A416="","",DATE(YEAR(A416),MONTH(A416),1))</f>
        <v/>
      </c>
    </row>
    <row r="417" customFormat="false" ht="15" hidden="false" customHeight="false" outlineLevel="0" collapsed="false">
      <c r="A417" s="26"/>
      <c r="B417" s="4"/>
      <c r="C417" s="27" t="str">
        <f aca="false">IF(B417="","",IFERROR(INDEX(Listas!$C$5:$C$40,MATCH(B417,Listas!$B$5:$B$40,0)),"?"))</f>
        <v/>
      </c>
      <c r="D417" s="4"/>
      <c r="E417" s="4"/>
      <c r="F417" s="4"/>
      <c r="G417" s="28"/>
      <c r="H417" s="29" t="str">
        <f aca="false">IF(A417="","",DATE(YEAR(A417),MONTH(A417),1))</f>
        <v/>
      </c>
    </row>
    <row r="418" customFormat="false" ht="15" hidden="false" customHeight="false" outlineLevel="0" collapsed="false">
      <c r="A418" s="26"/>
      <c r="B418" s="4"/>
      <c r="C418" s="27" t="str">
        <f aca="false">IF(B418="","",IFERROR(INDEX(Listas!$C$5:$C$40,MATCH(B418,Listas!$B$5:$B$40,0)),"?"))</f>
        <v/>
      </c>
      <c r="D418" s="4"/>
      <c r="E418" s="4"/>
      <c r="F418" s="4"/>
      <c r="G418" s="28"/>
      <c r="H418" s="29" t="str">
        <f aca="false">IF(A418="","",DATE(YEAR(A418),MONTH(A418),1))</f>
        <v/>
      </c>
    </row>
    <row r="419" customFormat="false" ht="15" hidden="false" customHeight="false" outlineLevel="0" collapsed="false">
      <c r="A419" s="26"/>
      <c r="B419" s="4"/>
      <c r="C419" s="27" t="str">
        <f aca="false">IF(B419="","",IFERROR(INDEX(Listas!$C$5:$C$40,MATCH(B419,Listas!$B$5:$B$40,0)),"?"))</f>
        <v/>
      </c>
      <c r="D419" s="4"/>
      <c r="E419" s="4"/>
      <c r="F419" s="4"/>
      <c r="G419" s="28"/>
      <c r="H419" s="29" t="str">
        <f aca="false">IF(A419="","",DATE(YEAR(A419),MONTH(A419),1))</f>
        <v/>
      </c>
    </row>
    <row r="420" customFormat="false" ht="15" hidden="false" customHeight="false" outlineLevel="0" collapsed="false">
      <c r="A420" s="26"/>
      <c r="B420" s="4"/>
      <c r="C420" s="27" t="str">
        <f aca="false">IF(B420="","",IFERROR(INDEX(Listas!$C$5:$C$40,MATCH(B420,Listas!$B$5:$B$40,0)),"?"))</f>
        <v/>
      </c>
      <c r="D420" s="4"/>
      <c r="E420" s="4"/>
      <c r="F420" s="4"/>
      <c r="G420" s="28"/>
      <c r="H420" s="29" t="str">
        <f aca="false">IF(A420="","",DATE(YEAR(A420),MONTH(A420),1))</f>
        <v/>
      </c>
    </row>
    <row r="421" customFormat="false" ht="15" hidden="false" customHeight="false" outlineLevel="0" collapsed="false">
      <c r="A421" s="26"/>
      <c r="B421" s="4"/>
      <c r="C421" s="27" t="str">
        <f aca="false">IF(B421="","",IFERROR(INDEX(Listas!$C$5:$C$40,MATCH(B421,Listas!$B$5:$B$40,0)),"?"))</f>
        <v/>
      </c>
      <c r="D421" s="4"/>
      <c r="E421" s="4"/>
      <c r="F421" s="4"/>
      <c r="G421" s="28"/>
      <c r="H421" s="29" t="str">
        <f aca="false">IF(A421="","",DATE(YEAR(A421),MONTH(A421),1))</f>
        <v/>
      </c>
    </row>
    <row r="422" customFormat="false" ht="15" hidden="false" customHeight="false" outlineLevel="0" collapsed="false">
      <c r="A422" s="26"/>
      <c r="B422" s="4"/>
      <c r="C422" s="27" t="str">
        <f aca="false">IF(B422="","",IFERROR(INDEX(Listas!$C$5:$C$40,MATCH(B422,Listas!$B$5:$B$40,0)),"?"))</f>
        <v/>
      </c>
      <c r="D422" s="4"/>
      <c r="E422" s="4"/>
      <c r="F422" s="4"/>
      <c r="G422" s="28"/>
      <c r="H422" s="29" t="str">
        <f aca="false">IF(A422="","",DATE(YEAR(A422),MONTH(A422),1))</f>
        <v/>
      </c>
    </row>
    <row r="423" customFormat="false" ht="15" hidden="false" customHeight="false" outlineLevel="0" collapsed="false">
      <c r="A423" s="26"/>
      <c r="B423" s="4"/>
      <c r="C423" s="27" t="str">
        <f aca="false">IF(B423="","",IFERROR(INDEX(Listas!$C$5:$C$40,MATCH(B423,Listas!$B$5:$B$40,0)),"?"))</f>
        <v/>
      </c>
      <c r="D423" s="4"/>
      <c r="E423" s="4"/>
      <c r="F423" s="4"/>
      <c r="G423" s="28"/>
      <c r="H423" s="29" t="str">
        <f aca="false">IF(A423="","",DATE(YEAR(A423),MONTH(A423),1))</f>
        <v/>
      </c>
    </row>
    <row r="424" customFormat="false" ht="15" hidden="false" customHeight="false" outlineLevel="0" collapsed="false">
      <c r="A424" s="26"/>
      <c r="B424" s="4"/>
      <c r="C424" s="27" t="str">
        <f aca="false">IF(B424="","",IFERROR(INDEX(Listas!$C$5:$C$40,MATCH(B424,Listas!$B$5:$B$40,0)),"?"))</f>
        <v/>
      </c>
      <c r="D424" s="4"/>
      <c r="E424" s="4"/>
      <c r="F424" s="4"/>
      <c r="G424" s="28"/>
      <c r="H424" s="29" t="str">
        <f aca="false">IF(A424="","",DATE(YEAR(A424),MONTH(A424),1))</f>
        <v/>
      </c>
    </row>
    <row r="425" customFormat="false" ht="15" hidden="false" customHeight="false" outlineLevel="0" collapsed="false">
      <c r="A425" s="26"/>
      <c r="B425" s="4"/>
      <c r="C425" s="27" t="str">
        <f aca="false">IF(B425="","",IFERROR(INDEX(Listas!$C$5:$C$40,MATCH(B425,Listas!$B$5:$B$40,0)),"?"))</f>
        <v/>
      </c>
      <c r="D425" s="4"/>
      <c r="E425" s="4"/>
      <c r="F425" s="4"/>
      <c r="G425" s="28"/>
      <c r="H425" s="29" t="str">
        <f aca="false">IF(A425="","",DATE(YEAR(A425),MONTH(A425),1))</f>
        <v/>
      </c>
    </row>
    <row r="426" customFormat="false" ht="15" hidden="false" customHeight="false" outlineLevel="0" collapsed="false">
      <c r="A426" s="26"/>
      <c r="B426" s="4"/>
      <c r="C426" s="27" t="str">
        <f aca="false">IF(B426="","",IFERROR(INDEX(Listas!$C$5:$C$40,MATCH(B426,Listas!$B$5:$B$40,0)),"?"))</f>
        <v/>
      </c>
      <c r="D426" s="4"/>
      <c r="E426" s="4"/>
      <c r="F426" s="4"/>
      <c r="G426" s="28"/>
      <c r="H426" s="29" t="str">
        <f aca="false">IF(A426="","",DATE(YEAR(A426),MONTH(A426),1))</f>
        <v/>
      </c>
    </row>
    <row r="427" customFormat="false" ht="15" hidden="false" customHeight="false" outlineLevel="0" collapsed="false">
      <c r="A427" s="26"/>
      <c r="B427" s="4"/>
      <c r="C427" s="27" t="str">
        <f aca="false">IF(B427="","",IFERROR(INDEX(Listas!$C$5:$C$40,MATCH(B427,Listas!$B$5:$B$40,0)),"?"))</f>
        <v/>
      </c>
      <c r="D427" s="4"/>
      <c r="E427" s="4"/>
      <c r="F427" s="4"/>
      <c r="G427" s="28"/>
      <c r="H427" s="29" t="str">
        <f aca="false">IF(A427="","",DATE(YEAR(A427),MONTH(A427),1))</f>
        <v/>
      </c>
    </row>
    <row r="428" customFormat="false" ht="15" hidden="false" customHeight="false" outlineLevel="0" collapsed="false">
      <c r="A428" s="26"/>
      <c r="B428" s="4"/>
      <c r="C428" s="27" t="str">
        <f aca="false">IF(B428="","",IFERROR(INDEX(Listas!$C$5:$C$40,MATCH(B428,Listas!$B$5:$B$40,0)),"?"))</f>
        <v/>
      </c>
      <c r="D428" s="4"/>
      <c r="E428" s="4"/>
      <c r="F428" s="4"/>
      <c r="G428" s="28"/>
      <c r="H428" s="29" t="str">
        <f aca="false">IF(A428="","",DATE(YEAR(A428),MONTH(A428),1))</f>
        <v/>
      </c>
    </row>
    <row r="429" customFormat="false" ht="15" hidden="false" customHeight="false" outlineLevel="0" collapsed="false">
      <c r="A429" s="26"/>
      <c r="B429" s="4"/>
      <c r="C429" s="27" t="str">
        <f aca="false">IF(B429="","",IFERROR(INDEX(Listas!$C$5:$C$40,MATCH(B429,Listas!$B$5:$B$40,0)),"?"))</f>
        <v/>
      </c>
      <c r="D429" s="4"/>
      <c r="E429" s="4"/>
      <c r="F429" s="4"/>
      <c r="G429" s="28"/>
      <c r="H429" s="29" t="str">
        <f aca="false">IF(A429="","",DATE(YEAR(A429),MONTH(A429),1))</f>
        <v/>
      </c>
    </row>
    <row r="430" customFormat="false" ht="15" hidden="false" customHeight="false" outlineLevel="0" collapsed="false">
      <c r="A430" s="26"/>
      <c r="B430" s="4"/>
      <c r="C430" s="27" t="str">
        <f aca="false">IF(B430="","",IFERROR(INDEX(Listas!$C$5:$C$40,MATCH(B430,Listas!$B$5:$B$40,0)),"?"))</f>
        <v/>
      </c>
      <c r="D430" s="4"/>
      <c r="E430" s="4"/>
      <c r="F430" s="4"/>
      <c r="G430" s="28"/>
      <c r="H430" s="29" t="str">
        <f aca="false">IF(A430="","",DATE(YEAR(A430),MONTH(A430),1))</f>
        <v/>
      </c>
    </row>
    <row r="431" customFormat="false" ht="15" hidden="false" customHeight="false" outlineLevel="0" collapsed="false">
      <c r="A431" s="26"/>
      <c r="B431" s="4"/>
      <c r="C431" s="27" t="str">
        <f aca="false">IF(B431="","",IFERROR(INDEX(Listas!$C$5:$C$40,MATCH(B431,Listas!$B$5:$B$40,0)),"?"))</f>
        <v/>
      </c>
      <c r="D431" s="4"/>
      <c r="E431" s="4"/>
      <c r="F431" s="4"/>
      <c r="G431" s="28"/>
      <c r="H431" s="29" t="str">
        <f aca="false">IF(A431="","",DATE(YEAR(A431),MONTH(A431),1))</f>
        <v/>
      </c>
    </row>
    <row r="432" customFormat="false" ht="15" hidden="false" customHeight="false" outlineLevel="0" collapsed="false">
      <c r="A432" s="26"/>
      <c r="B432" s="4"/>
      <c r="C432" s="27" t="str">
        <f aca="false">IF(B432="","",IFERROR(INDEX(Listas!$C$5:$C$40,MATCH(B432,Listas!$B$5:$B$40,0)),"?"))</f>
        <v/>
      </c>
      <c r="D432" s="4"/>
      <c r="E432" s="4"/>
      <c r="F432" s="4"/>
      <c r="G432" s="28"/>
      <c r="H432" s="29" t="str">
        <f aca="false">IF(A432="","",DATE(YEAR(A432),MONTH(A432),1))</f>
        <v/>
      </c>
    </row>
    <row r="433" customFormat="false" ht="15" hidden="false" customHeight="false" outlineLevel="0" collapsed="false">
      <c r="A433" s="26"/>
      <c r="B433" s="4"/>
      <c r="C433" s="27" t="str">
        <f aca="false">IF(B433="","",IFERROR(INDEX(Listas!$C$5:$C$40,MATCH(B433,Listas!$B$5:$B$40,0)),"?"))</f>
        <v/>
      </c>
      <c r="D433" s="4"/>
      <c r="E433" s="4"/>
      <c r="F433" s="4"/>
      <c r="G433" s="28"/>
      <c r="H433" s="29" t="str">
        <f aca="false">IF(A433="","",DATE(YEAR(A433),MONTH(A433),1))</f>
        <v/>
      </c>
    </row>
    <row r="434" customFormat="false" ht="15" hidden="false" customHeight="false" outlineLevel="0" collapsed="false">
      <c r="A434" s="26"/>
      <c r="B434" s="4"/>
      <c r="C434" s="27" t="str">
        <f aca="false">IF(B434="","",IFERROR(INDEX(Listas!$C$5:$C$40,MATCH(B434,Listas!$B$5:$B$40,0)),"?"))</f>
        <v/>
      </c>
      <c r="D434" s="4"/>
      <c r="E434" s="4"/>
      <c r="F434" s="4"/>
      <c r="G434" s="28"/>
      <c r="H434" s="29" t="str">
        <f aca="false">IF(A434="","",DATE(YEAR(A434),MONTH(A434),1))</f>
        <v/>
      </c>
    </row>
    <row r="435" customFormat="false" ht="15" hidden="false" customHeight="false" outlineLevel="0" collapsed="false">
      <c r="A435" s="26"/>
      <c r="B435" s="4"/>
      <c r="C435" s="27" t="str">
        <f aca="false">IF(B435="","",IFERROR(INDEX(Listas!$C$5:$C$40,MATCH(B435,Listas!$B$5:$B$40,0)),"?"))</f>
        <v/>
      </c>
      <c r="D435" s="4"/>
      <c r="E435" s="4"/>
      <c r="F435" s="4"/>
      <c r="G435" s="28"/>
      <c r="H435" s="29" t="str">
        <f aca="false">IF(A435="","",DATE(YEAR(A435),MONTH(A435),1))</f>
        <v/>
      </c>
    </row>
    <row r="436" customFormat="false" ht="15" hidden="false" customHeight="false" outlineLevel="0" collapsed="false">
      <c r="A436" s="26"/>
      <c r="B436" s="4"/>
      <c r="C436" s="27" t="str">
        <f aca="false">IF(B436="","",IFERROR(INDEX(Listas!$C$5:$C$40,MATCH(B436,Listas!$B$5:$B$40,0)),"?"))</f>
        <v/>
      </c>
      <c r="D436" s="4"/>
      <c r="E436" s="4"/>
      <c r="F436" s="4"/>
      <c r="G436" s="28"/>
      <c r="H436" s="29" t="str">
        <f aca="false">IF(A436="","",DATE(YEAR(A436),MONTH(A436),1))</f>
        <v/>
      </c>
    </row>
    <row r="437" customFormat="false" ht="15" hidden="false" customHeight="false" outlineLevel="0" collapsed="false">
      <c r="A437" s="26"/>
      <c r="B437" s="4"/>
      <c r="C437" s="27" t="str">
        <f aca="false">IF(B437="","",IFERROR(INDEX(Listas!$C$5:$C$40,MATCH(B437,Listas!$B$5:$B$40,0)),"?"))</f>
        <v/>
      </c>
      <c r="D437" s="4"/>
      <c r="E437" s="4"/>
      <c r="F437" s="4"/>
      <c r="G437" s="28"/>
      <c r="H437" s="29" t="str">
        <f aca="false">IF(A437="","",DATE(YEAR(A437),MONTH(A437),1))</f>
        <v/>
      </c>
    </row>
    <row r="438" customFormat="false" ht="15" hidden="false" customHeight="false" outlineLevel="0" collapsed="false">
      <c r="A438" s="26"/>
      <c r="B438" s="4"/>
      <c r="C438" s="27" t="str">
        <f aca="false">IF(B438="","",IFERROR(INDEX(Listas!$C$5:$C$40,MATCH(B438,Listas!$B$5:$B$40,0)),"?"))</f>
        <v/>
      </c>
      <c r="D438" s="4"/>
      <c r="E438" s="4"/>
      <c r="F438" s="4"/>
      <c r="G438" s="28"/>
      <c r="H438" s="29" t="str">
        <f aca="false">IF(A438="","",DATE(YEAR(A438),MONTH(A438),1))</f>
        <v/>
      </c>
    </row>
    <row r="439" customFormat="false" ht="15" hidden="false" customHeight="false" outlineLevel="0" collapsed="false">
      <c r="A439" s="26"/>
      <c r="B439" s="4"/>
      <c r="C439" s="27" t="str">
        <f aca="false">IF(B439="","",IFERROR(INDEX(Listas!$C$5:$C$40,MATCH(B439,Listas!$B$5:$B$40,0)),"?"))</f>
        <v/>
      </c>
      <c r="D439" s="4"/>
      <c r="E439" s="4"/>
      <c r="F439" s="4"/>
      <c r="G439" s="28"/>
      <c r="H439" s="29" t="str">
        <f aca="false">IF(A439="","",DATE(YEAR(A439),MONTH(A439),1))</f>
        <v/>
      </c>
    </row>
    <row r="440" customFormat="false" ht="15" hidden="false" customHeight="false" outlineLevel="0" collapsed="false">
      <c r="A440" s="26"/>
      <c r="B440" s="4"/>
      <c r="C440" s="27" t="str">
        <f aca="false">IF(B440="","",IFERROR(INDEX(Listas!$C$5:$C$40,MATCH(B440,Listas!$B$5:$B$40,0)),"?"))</f>
        <v/>
      </c>
      <c r="D440" s="4"/>
      <c r="E440" s="4"/>
      <c r="F440" s="4"/>
      <c r="G440" s="28"/>
      <c r="H440" s="29" t="str">
        <f aca="false">IF(A440="","",DATE(YEAR(A440),MONTH(A440),1))</f>
        <v/>
      </c>
    </row>
    <row r="441" customFormat="false" ht="15" hidden="false" customHeight="false" outlineLevel="0" collapsed="false">
      <c r="A441" s="26"/>
      <c r="B441" s="4"/>
      <c r="C441" s="27" t="str">
        <f aca="false">IF(B441="","",IFERROR(INDEX(Listas!$C$5:$C$40,MATCH(B441,Listas!$B$5:$B$40,0)),"?"))</f>
        <v/>
      </c>
      <c r="D441" s="4"/>
      <c r="E441" s="4"/>
      <c r="F441" s="4"/>
      <c r="G441" s="28"/>
      <c r="H441" s="29" t="str">
        <f aca="false">IF(A441="","",DATE(YEAR(A441),MONTH(A441),1))</f>
        <v/>
      </c>
    </row>
    <row r="442" customFormat="false" ht="15" hidden="false" customHeight="false" outlineLevel="0" collapsed="false">
      <c r="A442" s="26"/>
      <c r="B442" s="4"/>
      <c r="C442" s="27" t="str">
        <f aca="false">IF(B442="","",IFERROR(INDEX(Listas!$C$5:$C$40,MATCH(B442,Listas!$B$5:$B$40,0)),"?"))</f>
        <v/>
      </c>
      <c r="D442" s="4"/>
      <c r="E442" s="4"/>
      <c r="F442" s="4"/>
      <c r="G442" s="28"/>
      <c r="H442" s="29" t="str">
        <f aca="false">IF(A442="","",DATE(YEAR(A442),MONTH(A442),1))</f>
        <v/>
      </c>
    </row>
    <row r="443" customFormat="false" ht="15" hidden="false" customHeight="false" outlineLevel="0" collapsed="false">
      <c r="A443" s="26"/>
      <c r="B443" s="4"/>
      <c r="C443" s="27" t="str">
        <f aca="false">IF(B443="","",IFERROR(INDEX(Listas!$C$5:$C$40,MATCH(B443,Listas!$B$5:$B$40,0)),"?"))</f>
        <v/>
      </c>
      <c r="D443" s="4"/>
      <c r="E443" s="4"/>
      <c r="F443" s="4"/>
      <c r="G443" s="28"/>
      <c r="H443" s="29" t="str">
        <f aca="false">IF(A443="","",DATE(YEAR(A443),MONTH(A443),1))</f>
        <v/>
      </c>
    </row>
    <row r="444" customFormat="false" ht="15" hidden="false" customHeight="false" outlineLevel="0" collapsed="false">
      <c r="A444" s="26"/>
      <c r="B444" s="4"/>
      <c r="C444" s="27" t="str">
        <f aca="false">IF(B444="","",IFERROR(INDEX(Listas!$C$5:$C$40,MATCH(B444,Listas!$B$5:$B$40,0)),"?"))</f>
        <v/>
      </c>
      <c r="D444" s="4"/>
      <c r="E444" s="4"/>
      <c r="F444" s="4"/>
      <c r="G444" s="28"/>
      <c r="H444" s="29" t="str">
        <f aca="false">IF(A444="","",DATE(YEAR(A444),MONTH(A444),1))</f>
        <v/>
      </c>
    </row>
    <row r="445" customFormat="false" ht="15" hidden="false" customHeight="false" outlineLevel="0" collapsed="false">
      <c r="A445" s="26"/>
      <c r="B445" s="4"/>
      <c r="C445" s="27" t="str">
        <f aca="false">IF(B445="","",IFERROR(INDEX(Listas!$C$5:$C$40,MATCH(B445,Listas!$B$5:$B$40,0)),"?"))</f>
        <v/>
      </c>
      <c r="D445" s="4"/>
      <c r="E445" s="4"/>
      <c r="F445" s="4"/>
      <c r="G445" s="28"/>
      <c r="H445" s="29" t="str">
        <f aca="false">IF(A445="","",DATE(YEAR(A445),MONTH(A445),1))</f>
        <v/>
      </c>
    </row>
    <row r="446" customFormat="false" ht="15" hidden="false" customHeight="false" outlineLevel="0" collapsed="false">
      <c r="A446" s="26"/>
      <c r="B446" s="4"/>
      <c r="C446" s="27" t="str">
        <f aca="false">IF(B446="","",IFERROR(INDEX(Listas!$C$5:$C$40,MATCH(B446,Listas!$B$5:$B$40,0)),"?"))</f>
        <v/>
      </c>
      <c r="D446" s="4"/>
      <c r="E446" s="4"/>
      <c r="F446" s="4"/>
      <c r="G446" s="28"/>
      <c r="H446" s="29" t="str">
        <f aca="false">IF(A446="","",DATE(YEAR(A446),MONTH(A446),1))</f>
        <v/>
      </c>
    </row>
    <row r="447" customFormat="false" ht="15" hidden="false" customHeight="false" outlineLevel="0" collapsed="false">
      <c r="A447" s="26"/>
      <c r="B447" s="4"/>
      <c r="C447" s="27" t="str">
        <f aca="false">IF(B447="","",IFERROR(INDEX(Listas!$C$5:$C$40,MATCH(B447,Listas!$B$5:$B$40,0)),"?"))</f>
        <v/>
      </c>
      <c r="D447" s="4"/>
      <c r="E447" s="4"/>
      <c r="F447" s="4"/>
      <c r="G447" s="28"/>
      <c r="H447" s="29" t="str">
        <f aca="false">IF(A447="","",DATE(YEAR(A447),MONTH(A447),1))</f>
        <v/>
      </c>
    </row>
    <row r="448" customFormat="false" ht="15" hidden="false" customHeight="false" outlineLevel="0" collapsed="false">
      <c r="A448" s="26"/>
      <c r="B448" s="4"/>
      <c r="C448" s="27" t="str">
        <f aca="false">IF(B448="","",IFERROR(INDEX(Listas!$C$5:$C$40,MATCH(B448,Listas!$B$5:$B$40,0)),"?"))</f>
        <v/>
      </c>
      <c r="D448" s="4"/>
      <c r="E448" s="4"/>
      <c r="F448" s="4"/>
      <c r="G448" s="28"/>
      <c r="H448" s="29" t="str">
        <f aca="false">IF(A448="","",DATE(YEAR(A448),MONTH(A448),1))</f>
        <v/>
      </c>
    </row>
    <row r="449" customFormat="false" ht="15" hidden="false" customHeight="false" outlineLevel="0" collapsed="false">
      <c r="A449" s="26"/>
      <c r="B449" s="4"/>
      <c r="C449" s="27" t="str">
        <f aca="false">IF(B449="","",IFERROR(INDEX(Listas!$C$5:$C$40,MATCH(B449,Listas!$B$5:$B$40,0)),"?"))</f>
        <v/>
      </c>
      <c r="D449" s="4"/>
      <c r="E449" s="4"/>
      <c r="F449" s="4"/>
      <c r="G449" s="28"/>
      <c r="H449" s="29" t="str">
        <f aca="false">IF(A449="","",DATE(YEAR(A449),MONTH(A449),1))</f>
        <v/>
      </c>
    </row>
    <row r="450" customFormat="false" ht="15" hidden="false" customHeight="false" outlineLevel="0" collapsed="false">
      <c r="A450" s="26"/>
      <c r="B450" s="4"/>
      <c r="C450" s="27" t="str">
        <f aca="false">IF(B450="","",IFERROR(INDEX(Listas!$C$5:$C$40,MATCH(B450,Listas!$B$5:$B$40,0)),"?"))</f>
        <v/>
      </c>
      <c r="D450" s="4"/>
      <c r="E450" s="4"/>
      <c r="F450" s="4"/>
      <c r="G450" s="28"/>
      <c r="H450" s="29" t="str">
        <f aca="false">IF(A450="","",DATE(YEAR(A450),MONTH(A450),1))</f>
        <v/>
      </c>
    </row>
    <row r="451" customFormat="false" ht="15" hidden="false" customHeight="false" outlineLevel="0" collapsed="false">
      <c r="A451" s="26"/>
      <c r="B451" s="4"/>
      <c r="C451" s="27" t="str">
        <f aca="false">IF(B451="","",IFERROR(INDEX(Listas!$C$5:$C$40,MATCH(B451,Listas!$B$5:$B$40,0)),"?"))</f>
        <v/>
      </c>
      <c r="D451" s="4"/>
      <c r="E451" s="4"/>
      <c r="F451" s="4"/>
      <c r="G451" s="28"/>
      <c r="H451" s="29" t="str">
        <f aca="false">IF(A451="","",DATE(YEAR(A451),MONTH(A451),1))</f>
        <v/>
      </c>
    </row>
    <row r="452" customFormat="false" ht="15" hidden="false" customHeight="false" outlineLevel="0" collapsed="false">
      <c r="A452" s="26"/>
      <c r="B452" s="4"/>
      <c r="C452" s="27" t="str">
        <f aca="false">IF(B452="","",IFERROR(INDEX(Listas!$C$5:$C$40,MATCH(B452,Listas!$B$5:$B$40,0)),"?"))</f>
        <v/>
      </c>
      <c r="D452" s="4"/>
      <c r="E452" s="4"/>
      <c r="F452" s="4"/>
      <c r="G452" s="28"/>
      <c r="H452" s="29" t="str">
        <f aca="false">IF(A452="","",DATE(YEAR(A452),MONTH(A452),1))</f>
        <v/>
      </c>
    </row>
    <row r="453" customFormat="false" ht="15" hidden="false" customHeight="false" outlineLevel="0" collapsed="false">
      <c r="A453" s="26"/>
      <c r="B453" s="4"/>
      <c r="C453" s="27" t="str">
        <f aca="false">IF(B453="","",IFERROR(INDEX(Listas!$C$5:$C$40,MATCH(B453,Listas!$B$5:$B$40,0)),"?"))</f>
        <v/>
      </c>
      <c r="D453" s="4"/>
      <c r="E453" s="4"/>
      <c r="F453" s="4"/>
      <c r="G453" s="28"/>
      <c r="H453" s="29" t="str">
        <f aca="false">IF(A453="","",DATE(YEAR(A453),MONTH(A453),1))</f>
        <v/>
      </c>
    </row>
    <row r="454" customFormat="false" ht="15" hidden="false" customHeight="false" outlineLevel="0" collapsed="false">
      <c r="A454" s="26"/>
      <c r="B454" s="4"/>
      <c r="C454" s="27" t="str">
        <f aca="false">IF(B454="","",IFERROR(INDEX(Listas!$C$5:$C$40,MATCH(B454,Listas!$B$5:$B$40,0)),"?"))</f>
        <v/>
      </c>
      <c r="D454" s="4"/>
      <c r="E454" s="4"/>
      <c r="F454" s="4"/>
      <c r="G454" s="28"/>
      <c r="H454" s="29" t="str">
        <f aca="false">IF(A454="","",DATE(YEAR(A454),MONTH(A454),1))</f>
        <v/>
      </c>
    </row>
    <row r="455" customFormat="false" ht="15" hidden="false" customHeight="false" outlineLevel="0" collapsed="false">
      <c r="A455" s="26"/>
      <c r="B455" s="4"/>
      <c r="C455" s="27" t="str">
        <f aca="false">IF(B455="","",IFERROR(INDEX(Listas!$C$5:$C$40,MATCH(B455,Listas!$B$5:$B$40,0)),"?"))</f>
        <v/>
      </c>
      <c r="D455" s="4"/>
      <c r="E455" s="4"/>
      <c r="F455" s="4"/>
      <c r="G455" s="28"/>
      <c r="H455" s="29" t="str">
        <f aca="false">IF(A455="","",DATE(YEAR(A455),MONTH(A455),1))</f>
        <v/>
      </c>
    </row>
    <row r="456" customFormat="false" ht="15" hidden="false" customHeight="false" outlineLevel="0" collapsed="false">
      <c r="A456" s="26"/>
      <c r="B456" s="4"/>
      <c r="C456" s="27" t="str">
        <f aca="false">IF(B456="","",IFERROR(INDEX(Listas!$C$5:$C$40,MATCH(B456,Listas!$B$5:$B$40,0)),"?"))</f>
        <v/>
      </c>
      <c r="D456" s="4"/>
      <c r="E456" s="4"/>
      <c r="F456" s="4"/>
      <c r="G456" s="28"/>
      <c r="H456" s="29" t="str">
        <f aca="false">IF(A456="","",DATE(YEAR(A456),MONTH(A456),1))</f>
        <v/>
      </c>
    </row>
    <row r="457" customFormat="false" ht="15" hidden="false" customHeight="false" outlineLevel="0" collapsed="false">
      <c r="A457" s="26"/>
      <c r="B457" s="4"/>
      <c r="C457" s="27" t="str">
        <f aca="false">IF(B457="","",IFERROR(INDEX(Listas!$C$5:$C$40,MATCH(B457,Listas!$B$5:$B$40,0)),"?"))</f>
        <v/>
      </c>
      <c r="D457" s="4"/>
      <c r="E457" s="4"/>
      <c r="F457" s="4"/>
      <c r="G457" s="28"/>
      <c r="H457" s="29" t="str">
        <f aca="false">IF(A457="","",DATE(YEAR(A457),MONTH(A457),1))</f>
        <v/>
      </c>
    </row>
    <row r="458" customFormat="false" ht="15" hidden="false" customHeight="false" outlineLevel="0" collapsed="false">
      <c r="A458" s="26"/>
      <c r="B458" s="4"/>
      <c r="C458" s="27" t="str">
        <f aca="false">IF(B458="","",IFERROR(INDEX(Listas!$C$5:$C$40,MATCH(B458,Listas!$B$5:$B$40,0)),"?"))</f>
        <v/>
      </c>
      <c r="D458" s="4"/>
      <c r="E458" s="4"/>
      <c r="F458" s="4"/>
      <c r="G458" s="28"/>
      <c r="H458" s="29" t="str">
        <f aca="false">IF(A458="","",DATE(YEAR(A458),MONTH(A458),1))</f>
        <v/>
      </c>
    </row>
    <row r="459" customFormat="false" ht="15" hidden="false" customHeight="false" outlineLevel="0" collapsed="false">
      <c r="A459" s="26"/>
      <c r="B459" s="4"/>
      <c r="C459" s="27" t="str">
        <f aca="false">IF(B459="","",IFERROR(INDEX(Listas!$C$5:$C$40,MATCH(B459,Listas!$B$5:$B$40,0)),"?"))</f>
        <v/>
      </c>
      <c r="D459" s="4"/>
      <c r="E459" s="4"/>
      <c r="F459" s="4"/>
      <c r="G459" s="28"/>
      <c r="H459" s="29" t="str">
        <f aca="false">IF(A459="","",DATE(YEAR(A459),MONTH(A459),1))</f>
        <v/>
      </c>
    </row>
    <row r="460" customFormat="false" ht="15" hidden="false" customHeight="false" outlineLevel="0" collapsed="false">
      <c r="A460" s="26"/>
      <c r="B460" s="4"/>
      <c r="C460" s="27" t="str">
        <f aca="false">IF(B460="","",IFERROR(INDEX(Listas!$C$5:$C$40,MATCH(B460,Listas!$B$5:$B$40,0)),"?"))</f>
        <v/>
      </c>
      <c r="D460" s="4"/>
      <c r="E460" s="4"/>
      <c r="F460" s="4"/>
      <c r="G460" s="28"/>
      <c r="H460" s="29" t="str">
        <f aca="false">IF(A460="","",DATE(YEAR(A460),MONTH(A460),1))</f>
        <v/>
      </c>
    </row>
    <row r="461" customFormat="false" ht="15" hidden="false" customHeight="false" outlineLevel="0" collapsed="false">
      <c r="A461" s="26"/>
      <c r="B461" s="4"/>
      <c r="C461" s="27" t="str">
        <f aca="false">IF(B461="","",IFERROR(INDEX(Listas!$C$5:$C$40,MATCH(B461,Listas!$B$5:$B$40,0)),"?"))</f>
        <v/>
      </c>
      <c r="D461" s="4"/>
      <c r="E461" s="4"/>
      <c r="F461" s="4"/>
      <c r="G461" s="28"/>
      <c r="H461" s="29" t="str">
        <f aca="false">IF(A461="","",DATE(YEAR(A461),MONTH(A461),1))</f>
        <v/>
      </c>
    </row>
    <row r="462" customFormat="false" ht="15" hidden="false" customHeight="false" outlineLevel="0" collapsed="false">
      <c r="A462" s="26"/>
      <c r="B462" s="4"/>
      <c r="C462" s="27" t="str">
        <f aca="false">IF(B462="","",IFERROR(INDEX(Listas!$C$5:$C$40,MATCH(B462,Listas!$B$5:$B$40,0)),"?"))</f>
        <v/>
      </c>
      <c r="D462" s="4"/>
      <c r="E462" s="4"/>
      <c r="F462" s="4"/>
      <c r="G462" s="28"/>
      <c r="H462" s="29" t="str">
        <f aca="false">IF(A462="","",DATE(YEAR(A462),MONTH(A462),1))</f>
        <v/>
      </c>
    </row>
    <row r="463" customFormat="false" ht="15" hidden="false" customHeight="false" outlineLevel="0" collapsed="false">
      <c r="A463" s="26"/>
      <c r="B463" s="4"/>
      <c r="C463" s="27" t="str">
        <f aca="false">IF(B463="","",IFERROR(INDEX(Listas!$C$5:$C$40,MATCH(B463,Listas!$B$5:$B$40,0)),"?"))</f>
        <v/>
      </c>
      <c r="D463" s="4"/>
      <c r="E463" s="4"/>
      <c r="F463" s="4"/>
      <c r="G463" s="28"/>
      <c r="H463" s="29" t="str">
        <f aca="false">IF(A463="","",DATE(YEAR(A463),MONTH(A463),1))</f>
        <v/>
      </c>
    </row>
    <row r="464" customFormat="false" ht="15" hidden="false" customHeight="false" outlineLevel="0" collapsed="false">
      <c r="A464" s="26"/>
      <c r="B464" s="4"/>
      <c r="C464" s="27" t="str">
        <f aca="false">IF(B464="","",IFERROR(INDEX(Listas!$C$5:$C$40,MATCH(B464,Listas!$B$5:$B$40,0)),"?"))</f>
        <v/>
      </c>
      <c r="D464" s="4"/>
      <c r="E464" s="4"/>
      <c r="F464" s="4"/>
      <c r="G464" s="28"/>
      <c r="H464" s="29" t="str">
        <f aca="false">IF(A464="","",DATE(YEAR(A464),MONTH(A464),1))</f>
        <v/>
      </c>
    </row>
    <row r="465" customFormat="false" ht="15" hidden="false" customHeight="false" outlineLevel="0" collapsed="false">
      <c r="A465" s="26"/>
      <c r="B465" s="4"/>
      <c r="C465" s="27" t="str">
        <f aca="false">IF(B465="","",IFERROR(INDEX(Listas!$C$5:$C$40,MATCH(B465,Listas!$B$5:$B$40,0)),"?"))</f>
        <v/>
      </c>
      <c r="D465" s="4"/>
      <c r="E465" s="4"/>
      <c r="F465" s="4"/>
      <c r="G465" s="28"/>
      <c r="H465" s="29" t="str">
        <f aca="false">IF(A465="","",DATE(YEAR(A465),MONTH(A465),1))</f>
        <v/>
      </c>
    </row>
    <row r="466" customFormat="false" ht="15" hidden="false" customHeight="false" outlineLevel="0" collapsed="false">
      <c r="A466" s="26"/>
      <c r="B466" s="4"/>
      <c r="C466" s="27" t="str">
        <f aca="false">IF(B466="","",IFERROR(INDEX(Listas!$C$5:$C$40,MATCH(B466,Listas!$B$5:$B$40,0)),"?"))</f>
        <v/>
      </c>
      <c r="D466" s="4"/>
      <c r="E466" s="4"/>
      <c r="F466" s="4"/>
      <c r="G466" s="28"/>
      <c r="H466" s="29" t="str">
        <f aca="false">IF(A466="","",DATE(YEAR(A466),MONTH(A466),1))</f>
        <v/>
      </c>
    </row>
    <row r="467" customFormat="false" ht="15" hidden="false" customHeight="false" outlineLevel="0" collapsed="false">
      <c r="A467" s="26"/>
      <c r="B467" s="4"/>
      <c r="C467" s="27" t="str">
        <f aca="false">IF(B467="","",IFERROR(INDEX(Listas!$C$5:$C$40,MATCH(B467,Listas!$B$5:$B$40,0)),"?"))</f>
        <v/>
      </c>
      <c r="D467" s="4"/>
      <c r="E467" s="4"/>
      <c r="F467" s="4"/>
      <c r="G467" s="28"/>
      <c r="H467" s="29" t="str">
        <f aca="false">IF(A467="","",DATE(YEAR(A467),MONTH(A467),1))</f>
        <v/>
      </c>
    </row>
    <row r="468" customFormat="false" ht="15" hidden="false" customHeight="false" outlineLevel="0" collapsed="false">
      <c r="A468" s="26"/>
      <c r="B468" s="4"/>
      <c r="C468" s="27" t="str">
        <f aca="false">IF(B468="","",IFERROR(INDEX(Listas!$C$5:$C$40,MATCH(B468,Listas!$B$5:$B$40,0)),"?"))</f>
        <v/>
      </c>
      <c r="D468" s="4"/>
      <c r="E468" s="4"/>
      <c r="F468" s="4"/>
      <c r="G468" s="28"/>
      <c r="H468" s="29" t="str">
        <f aca="false">IF(A468="","",DATE(YEAR(A468),MONTH(A468),1))</f>
        <v/>
      </c>
    </row>
    <row r="469" customFormat="false" ht="15" hidden="false" customHeight="false" outlineLevel="0" collapsed="false">
      <c r="A469" s="26"/>
      <c r="B469" s="4"/>
      <c r="C469" s="27" t="str">
        <f aca="false">IF(B469="","",IFERROR(INDEX(Listas!$C$5:$C$40,MATCH(B469,Listas!$B$5:$B$40,0)),"?"))</f>
        <v/>
      </c>
      <c r="D469" s="4"/>
      <c r="E469" s="4"/>
      <c r="F469" s="4"/>
      <c r="G469" s="28"/>
      <c r="H469" s="29" t="str">
        <f aca="false">IF(A469="","",DATE(YEAR(A469),MONTH(A469),1))</f>
        <v/>
      </c>
    </row>
    <row r="470" customFormat="false" ht="15" hidden="false" customHeight="false" outlineLevel="0" collapsed="false">
      <c r="A470" s="26"/>
      <c r="B470" s="4"/>
      <c r="C470" s="27" t="str">
        <f aca="false">IF(B470="","",IFERROR(INDEX(Listas!$C$5:$C$40,MATCH(B470,Listas!$B$5:$B$40,0)),"?"))</f>
        <v/>
      </c>
      <c r="D470" s="4"/>
      <c r="E470" s="4"/>
      <c r="F470" s="4"/>
      <c r="G470" s="28"/>
      <c r="H470" s="29" t="str">
        <f aca="false">IF(A470="","",DATE(YEAR(A470),MONTH(A470),1))</f>
        <v/>
      </c>
    </row>
    <row r="471" customFormat="false" ht="15" hidden="false" customHeight="false" outlineLevel="0" collapsed="false">
      <c r="A471" s="26"/>
      <c r="B471" s="4"/>
      <c r="C471" s="27" t="str">
        <f aca="false">IF(B471="","",IFERROR(INDEX(Listas!$C$5:$C$40,MATCH(B471,Listas!$B$5:$B$40,0)),"?"))</f>
        <v/>
      </c>
      <c r="D471" s="4"/>
      <c r="E471" s="4"/>
      <c r="F471" s="4"/>
      <c r="G471" s="28"/>
      <c r="H471" s="29" t="str">
        <f aca="false">IF(A471="","",DATE(YEAR(A471),MONTH(A471),1))</f>
        <v/>
      </c>
    </row>
    <row r="472" customFormat="false" ht="15" hidden="false" customHeight="false" outlineLevel="0" collapsed="false">
      <c r="A472" s="26"/>
      <c r="B472" s="4"/>
      <c r="C472" s="27" t="str">
        <f aca="false">IF(B472="","",IFERROR(INDEX(Listas!$C$5:$C$40,MATCH(B472,Listas!$B$5:$B$40,0)),"?"))</f>
        <v/>
      </c>
      <c r="D472" s="4"/>
      <c r="E472" s="4"/>
      <c r="F472" s="4"/>
      <c r="G472" s="28"/>
      <c r="H472" s="29" t="str">
        <f aca="false">IF(A472="","",DATE(YEAR(A472),MONTH(A472),1))</f>
        <v/>
      </c>
    </row>
    <row r="473" customFormat="false" ht="15" hidden="false" customHeight="false" outlineLevel="0" collapsed="false">
      <c r="A473" s="26"/>
      <c r="B473" s="4"/>
      <c r="C473" s="27" t="str">
        <f aca="false">IF(B473="","",IFERROR(INDEX(Listas!$C$5:$C$40,MATCH(B473,Listas!$B$5:$B$40,0)),"?"))</f>
        <v/>
      </c>
      <c r="D473" s="4"/>
      <c r="E473" s="4"/>
      <c r="F473" s="4"/>
      <c r="G473" s="28"/>
      <c r="H473" s="29" t="str">
        <f aca="false">IF(A473="","",DATE(YEAR(A473),MONTH(A473),1))</f>
        <v/>
      </c>
    </row>
    <row r="474" customFormat="false" ht="15" hidden="false" customHeight="false" outlineLevel="0" collapsed="false">
      <c r="A474" s="26"/>
      <c r="B474" s="4"/>
      <c r="C474" s="27" t="str">
        <f aca="false">IF(B474="","",IFERROR(INDEX(Listas!$C$5:$C$40,MATCH(B474,Listas!$B$5:$B$40,0)),"?"))</f>
        <v/>
      </c>
      <c r="D474" s="4"/>
      <c r="E474" s="4"/>
      <c r="F474" s="4"/>
      <c r="G474" s="28"/>
      <c r="H474" s="29" t="str">
        <f aca="false">IF(A474="","",DATE(YEAR(A474),MONTH(A474),1))</f>
        <v/>
      </c>
    </row>
    <row r="475" customFormat="false" ht="15" hidden="false" customHeight="false" outlineLevel="0" collapsed="false">
      <c r="A475" s="26"/>
      <c r="B475" s="4"/>
      <c r="C475" s="27" t="str">
        <f aca="false">IF(B475="","",IFERROR(INDEX(Listas!$C$5:$C$40,MATCH(B475,Listas!$B$5:$B$40,0)),"?"))</f>
        <v/>
      </c>
      <c r="D475" s="4"/>
      <c r="E475" s="4"/>
      <c r="F475" s="4"/>
      <c r="G475" s="28"/>
      <c r="H475" s="29" t="str">
        <f aca="false">IF(A475="","",DATE(YEAR(A475),MONTH(A475),1))</f>
        <v/>
      </c>
    </row>
    <row r="476" customFormat="false" ht="15" hidden="false" customHeight="false" outlineLevel="0" collapsed="false">
      <c r="A476" s="26"/>
      <c r="B476" s="4"/>
      <c r="C476" s="27" t="str">
        <f aca="false">IF(B476="","",IFERROR(INDEX(Listas!$C$5:$C$40,MATCH(B476,Listas!$B$5:$B$40,0)),"?"))</f>
        <v/>
      </c>
      <c r="D476" s="4"/>
      <c r="E476" s="4"/>
      <c r="F476" s="4"/>
      <c r="G476" s="28"/>
      <c r="H476" s="29" t="str">
        <f aca="false">IF(A476="","",DATE(YEAR(A476),MONTH(A476),1))</f>
        <v/>
      </c>
    </row>
    <row r="477" customFormat="false" ht="15" hidden="false" customHeight="false" outlineLevel="0" collapsed="false">
      <c r="A477" s="26"/>
      <c r="B477" s="4"/>
      <c r="C477" s="27" t="str">
        <f aca="false">IF(B477="","",IFERROR(INDEX(Listas!$C$5:$C$40,MATCH(B477,Listas!$B$5:$B$40,0)),"?"))</f>
        <v/>
      </c>
      <c r="D477" s="4"/>
      <c r="E477" s="4"/>
      <c r="F477" s="4"/>
      <c r="G477" s="28"/>
      <c r="H477" s="29" t="str">
        <f aca="false">IF(A477="","",DATE(YEAR(A477),MONTH(A477),1))</f>
        <v/>
      </c>
    </row>
    <row r="478" customFormat="false" ht="15" hidden="false" customHeight="false" outlineLevel="0" collapsed="false">
      <c r="A478" s="26"/>
      <c r="B478" s="4"/>
      <c r="C478" s="27" t="str">
        <f aca="false">IF(B478="","",IFERROR(INDEX(Listas!$C$5:$C$40,MATCH(B478,Listas!$B$5:$B$40,0)),"?"))</f>
        <v/>
      </c>
      <c r="D478" s="4"/>
      <c r="E478" s="4"/>
      <c r="F478" s="4"/>
      <c r="G478" s="28"/>
      <c r="H478" s="29" t="str">
        <f aca="false">IF(A478="","",DATE(YEAR(A478),MONTH(A478),1))</f>
        <v/>
      </c>
    </row>
    <row r="479" customFormat="false" ht="15" hidden="false" customHeight="false" outlineLevel="0" collapsed="false">
      <c r="A479" s="26"/>
      <c r="B479" s="4"/>
      <c r="C479" s="27" t="str">
        <f aca="false">IF(B479="","",IFERROR(INDEX(Listas!$C$5:$C$40,MATCH(B479,Listas!$B$5:$B$40,0)),"?"))</f>
        <v/>
      </c>
      <c r="D479" s="4"/>
      <c r="E479" s="4"/>
      <c r="F479" s="4"/>
      <c r="G479" s="28"/>
      <c r="H479" s="29" t="str">
        <f aca="false">IF(A479="","",DATE(YEAR(A479),MONTH(A479),1))</f>
        <v/>
      </c>
    </row>
    <row r="480" customFormat="false" ht="15" hidden="false" customHeight="false" outlineLevel="0" collapsed="false">
      <c r="A480" s="26"/>
      <c r="B480" s="4"/>
      <c r="C480" s="27" t="str">
        <f aca="false">IF(B480="","",IFERROR(INDEX(Listas!$C$5:$C$40,MATCH(B480,Listas!$B$5:$B$40,0)),"?"))</f>
        <v/>
      </c>
      <c r="D480" s="4"/>
      <c r="E480" s="4"/>
      <c r="F480" s="4"/>
      <c r="G480" s="28"/>
      <c r="H480" s="29" t="str">
        <f aca="false">IF(A480="","",DATE(YEAR(A480),MONTH(A480),1))</f>
        <v/>
      </c>
    </row>
    <row r="481" customFormat="false" ht="15" hidden="false" customHeight="false" outlineLevel="0" collapsed="false">
      <c r="A481" s="26"/>
      <c r="B481" s="4"/>
      <c r="C481" s="27" t="str">
        <f aca="false">IF(B481="","",IFERROR(INDEX(Listas!$C$5:$C$40,MATCH(B481,Listas!$B$5:$B$40,0)),"?"))</f>
        <v/>
      </c>
      <c r="D481" s="4"/>
      <c r="E481" s="4"/>
      <c r="F481" s="4"/>
      <c r="G481" s="28"/>
      <c r="H481" s="29" t="str">
        <f aca="false">IF(A481="","",DATE(YEAR(A481),MONTH(A481),1))</f>
        <v/>
      </c>
    </row>
    <row r="482" customFormat="false" ht="15" hidden="false" customHeight="false" outlineLevel="0" collapsed="false">
      <c r="A482" s="26"/>
      <c r="B482" s="4"/>
      <c r="C482" s="27" t="str">
        <f aca="false">IF(B482="","",IFERROR(INDEX(Listas!$C$5:$C$40,MATCH(B482,Listas!$B$5:$B$40,0)),"?"))</f>
        <v/>
      </c>
      <c r="D482" s="4"/>
      <c r="E482" s="4"/>
      <c r="F482" s="4"/>
      <c r="G482" s="28"/>
      <c r="H482" s="29" t="str">
        <f aca="false">IF(A482="","",DATE(YEAR(A482),MONTH(A482),1))</f>
        <v/>
      </c>
    </row>
    <row r="483" customFormat="false" ht="15" hidden="false" customHeight="false" outlineLevel="0" collapsed="false">
      <c r="A483" s="26"/>
      <c r="B483" s="4"/>
      <c r="C483" s="27" t="str">
        <f aca="false">IF(B483="","",IFERROR(INDEX(Listas!$C$5:$C$40,MATCH(B483,Listas!$B$5:$B$40,0)),"?"))</f>
        <v/>
      </c>
      <c r="D483" s="4"/>
      <c r="E483" s="4"/>
      <c r="F483" s="4"/>
      <c r="G483" s="28"/>
      <c r="H483" s="29" t="str">
        <f aca="false">IF(A483="","",DATE(YEAR(A483),MONTH(A483),1))</f>
        <v/>
      </c>
    </row>
    <row r="484" customFormat="false" ht="15" hidden="false" customHeight="false" outlineLevel="0" collapsed="false">
      <c r="A484" s="26"/>
      <c r="B484" s="4"/>
      <c r="C484" s="27" t="str">
        <f aca="false">IF(B484="","",IFERROR(INDEX(Listas!$C$5:$C$40,MATCH(B484,Listas!$B$5:$B$40,0)),"?"))</f>
        <v/>
      </c>
      <c r="D484" s="4"/>
      <c r="E484" s="4"/>
      <c r="F484" s="4"/>
      <c r="G484" s="28"/>
      <c r="H484" s="29" t="str">
        <f aca="false">IF(A484="","",DATE(YEAR(A484),MONTH(A484),1))</f>
        <v/>
      </c>
    </row>
    <row r="485" customFormat="false" ht="15" hidden="false" customHeight="false" outlineLevel="0" collapsed="false">
      <c r="A485" s="26"/>
      <c r="B485" s="4"/>
      <c r="C485" s="27" t="str">
        <f aca="false">IF(B485="","",IFERROR(INDEX(Listas!$C$5:$C$40,MATCH(B485,Listas!$B$5:$B$40,0)),"?"))</f>
        <v/>
      </c>
      <c r="D485" s="4"/>
      <c r="E485" s="4"/>
      <c r="F485" s="4"/>
      <c r="G485" s="28"/>
      <c r="H485" s="29" t="str">
        <f aca="false">IF(A485="","",DATE(YEAR(A485),MONTH(A485),1))</f>
        <v/>
      </c>
    </row>
    <row r="486" customFormat="false" ht="15" hidden="false" customHeight="false" outlineLevel="0" collapsed="false">
      <c r="A486" s="26"/>
      <c r="B486" s="4"/>
      <c r="C486" s="27" t="str">
        <f aca="false">IF(B486="","",IFERROR(INDEX(Listas!$C$5:$C$40,MATCH(B486,Listas!$B$5:$B$40,0)),"?"))</f>
        <v/>
      </c>
      <c r="D486" s="4"/>
      <c r="E486" s="4"/>
      <c r="F486" s="4"/>
      <c r="G486" s="28"/>
      <c r="H486" s="29" t="str">
        <f aca="false">IF(A486="","",DATE(YEAR(A486),MONTH(A486),1))</f>
        <v/>
      </c>
    </row>
    <row r="487" customFormat="false" ht="15" hidden="false" customHeight="false" outlineLevel="0" collapsed="false">
      <c r="A487" s="26"/>
      <c r="B487" s="4"/>
      <c r="C487" s="27" t="str">
        <f aca="false">IF(B487="","",IFERROR(INDEX(Listas!$C$5:$C$40,MATCH(B487,Listas!$B$5:$B$40,0)),"?"))</f>
        <v/>
      </c>
      <c r="D487" s="4"/>
      <c r="E487" s="4"/>
      <c r="F487" s="4"/>
      <c r="G487" s="28"/>
      <c r="H487" s="29" t="str">
        <f aca="false">IF(A487="","",DATE(YEAR(A487),MONTH(A487),1))</f>
        <v/>
      </c>
    </row>
    <row r="488" customFormat="false" ht="15" hidden="false" customHeight="false" outlineLevel="0" collapsed="false">
      <c r="A488" s="26"/>
      <c r="B488" s="4"/>
      <c r="C488" s="27" t="str">
        <f aca="false">IF(B488="","",IFERROR(INDEX(Listas!$C$5:$C$40,MATCH(B488,Listas!$B$5:$B$40,0)),"?"))</f>
        <v/>
      </c>
      <c r="D488" s="4"/>
      <c r="E488" s="4"/>
      <c r="F488" s="4"/>
      <c r="G488" s="28"/>
      <c r="H488" s="29" t="str">
        <f aca="false">IF(A488="","",DATE(YEAR(A488),MONTH(A488),1))</f>
        <v/>
      </c>
    </row>
    <row r="489" customFormat="false" ht="15" hidden="false" customHeight="false" outlineLevel="0" collapsed="false">
      <c r="A489" s="26"/>
      <c r="B489" s="4"/>
      <c r="C489" s="27" t="str">
        <f aca="false">IF(B489="","",IFERROR(INDEX(Listas!$C$5:$C$40,MATCH(B489,Listas!$B$5:$B$40,0)),"?"))</f>
        <v/>
      </c>
      <c r="D489" s="4"/>
      <c r="E489" s="4"/>
      <c r="F489" s="4"/>
      <c r="G489" s="28"/>
      <c r="H489" s="29" t="str">
        <f aca="false">IF(A489="","",DATE(YEAR(A489),MONTH(A489),1))</f>
        <v/>
      </c>
    </row>
    <row r="490" customFormat="false" ht="15" hidden="false" customHeight="false" outlineLevel="0" collapsed="false">
      <c r="A490" s="26"/>
      <c r="B490" s="4"/>
      <c r="C490" s="27" t="str">
        <f aca="false">IF(B490="","",IFERROR(INDEX(Listas!$C$5:$C$40,MATCH(B490,Listas!$B$5:$B$40,0)),"?"))</f>
        <v/>
      </c>
      <c r="D490" s="4"/>
      <c r="E490" s="4"/>
      <c r="F490" s="4"/>
      <c r="G490" s="28"/>
      <c r="H490" s="29" t="str">
        <f aca="false">IF(A490="","",DATE(YEAR(A490),MONTH(A490),1))</f>
        <v/>
      </c>
    </row>
    <row r="491" customFormat="false" ht="15" hidden="false" customHeight="false" outlineLevel="0" collapsed="false">
      <c r="A491" s="26"/>
      <c r="B491" s="4"/>
      <c r="C491" s="27" t="str">
        <f aca="false">IF(B491="","",IFERROR(INDEX(Listas!$C$5:$C$40,MATCH(B491,Listas!$B$5:$B$40,0)),"?"))</f>
        <v/>
      </c>
      <c r="D491" s="4"/>
      <c r="E491" s="4"/>
      <c r="F491" s="4"/>
      <c r="G491" s="28"/>
      <c r="H491" s="29" t="str">
        <f aca="false">IF(A491="","",DATE(YEAR(A491),MONTH(A491),1))</f>
        <v/>
      </c>
    </row>
    <row r="492" customFormat="false" ht="15" hidden="false" customHeight="false" outlineLevel="0" collapsed="false">
      <c r="A492" s="26"/>
      <c r="B492" s="4"/>
      <c r="C492" s="27" t="str">
        <f aca="false">IF(B492="","",IFERROR(INDEX(Listas!$C$5:$C$40,MATCH(B492,Listas!$B$5:$B$40,0)),"?"))</f>
        <v/>
      </c>
      <c r="D492" s="4"/>
      <c r="E492" s="4"/>
      <c r="F492" s="4"/>
      <c r="G492" s="28"/>
      <c r="H492" s="29" t="str">
        <f aca="false">IF(A492="","",DATE(YEAR(A492),MONTH(A492),1))</f>
        <v/>
      </c>
    </row>
    <row r="493" customFormat="false" ht="15" hidden="false" customHeight="false" outlineLevel="0" collapsed="false">
      <c r="A493" s="26"/>
      <c r="B493" s="4"/>
      <c r="C493" s="27" t="str">
        <f aca="false">IF(B493="","",IFERROR(INDEX(Listas!$C$5:$C$40,MATCH(B493,Listas!$B$5:$B$40,0)),"?"))</f>
        <v/>
      </c>
      <c r="D493" s="4"/>
      <c r="E493" s="4"/>
      <c r="F493" s="4"/>
      <c r="G493" s="28"/>
      <c r="H493" s="29" t="str">
        <f aca="false">IF(A493="","",DATE(YEAR(A493),MONTH(A493),1))</f>
        <v/>
      </c>
    </row>
    <row r="494" customFormat="false" ht="15" hidden="false" customHeight="false" outlineLevel="0" collapsed="false">
      <c r="A494" s="26"/>
      <c r="B494" s="4"/>
      <c r="C494" s="27" t="str">
        <f aca="false">IF(B494="","",IFERROR(INDEX(Listas!$C$5:$C$40,MATCH(B494,Listas!$B$5:$B$40,0)),"?"))</f>
        <v/>
      </c>
      <c r="D494" s="4"/>
      <c r="E494" s="4"/>
      <c r="F494" s="4"/>
      <c r="G494" s="28"/>
      <c r="H494" s="29" t="str">
        <f aca="false">IF(A494="","",DATE(YEAR(A494),MONTH(A494),1))</f>
        <v/>
      </c>
    </row>
    <row r="495" customFormat="false" ht="15" hidden="false" customHeight="false" outlineLevel="0" collapsed="false">
      <c r="A495" s="26"/>
      <c r="B495" s="4"/>
      <c r="C495" s="27" t="str">
        <f aca="false">IF(B495="","",IFERROR(INDEX(Listas!$C$5:$C$40,MATCH(B495,Listas!$B$5:$B$40,0)),"?"))</f>
        <v/>
      </c>
      <c r="D495" s="4"/>
      <c r="E495" s="4"/>
      <c r="F495" s="4"/>
      <c r="G495" s="28"/>
      <c r="H495" s="29" t="str">
        <f aca="false">IF(A495="","",DATE(YEAR(A495),MONTH(A495),1))</f>
        <v/>
      </c>
    </row>
    <row r="496" customFormat="false" ht="15" hidden="false" customHeight="false" outlineLevel="0" collapsed="false">
      <c r="A496" s="26"/>
      <c r="B496" s="4"/>
      <c r="C496" s="27" t="str">
        <f aca="false">IF(B496="","",IFERROR(INDEX(Listas!$C$5:$C$40,MATCH(B496,Listas!$B$5:$B$40,0)),"?"))</f>
        <v/>
      </c>
      <c r="D496" s="4"/>
      <c r="E496" s="4"/>
      <c r="F496" s="4"/>
      <c r="G496" s="28"/>
      <c r="H496" s="29" t="str">
        <f aca="false">IF(A496="","",DATE(YEAR(A496),MONTH(A496),1))</f>
        <v/>
      </c>
    </row>
    <row r="497" customFormat="false" ht="15" hidden="false" customHeight="false" outlineLevel="0" collapsed="false">
      <c r="A497" s="26"/>
      <c r="B497" s="4"/>
      <c r="C497" s="27" t="str">
        <f aca="false">IF(B497="","",IFERROR(INDEX(Listas!$C$5:$C$40,MATCH(B497,Listas!$B$5:$B$40,0)),"?"))</f>
        <v/>
      </c>
      <c r="D497" s="4"/>
      <c r="E497" s="4"/>
      <c r="F497" s="4"/>
      <c r="G497" s="28"/>
      <c r="H497" s="29" t="str">
        <f aca="false">IF(A497="","",DATE(YEAR(A497),MONTH(A497),1))</f>
        <v/>
      </c>
    </row>
    <row r="498" customFormat="false" ht="15" hidden="false" customHeight="false" outlineLevel="0" collapsed="false">
      <c r="A498" s="26"/>
      <c r="B498" s="4"/>
      <c r="C498" s="27" t="str">
        <f aca="false">IF(B498="","",IFERROR(INDEX(Listas!$C$5:$C$40,MATCH(B498,Listas!$B$5:$B$40,0)),"?"))</f>
        <v/>
      </c>
      <c r="D498" s="4"/>
      <c r="E498" s="4"/>
      <c r="F498" s="4"/>
      <c r="G498" s="28"/>
      <c r="H498" s="29" t="str">
        <f aca="false">IF(A498="","",DATE(YEAR(A498),MONTH(A498),1))</f>
        <v/>
      </c>
    </row>
    <row r="499" customFormat="false" ht="15" hidden="false" customHeight="false" outlineLevel="0" collapsed="false">
      <c r="A499" s="26"/>
      <c r="B499" s="4"/>
      <c r="C499" s="27" t="str">
        <f aca="false">IF(B499="","",IFERROR(INDEX(Listas!$C$5:$C$40,MATCH(B499,Listas!$B$5:$B$40,0)),"?"))</f>
        <v/>
      </c>
      <c r="D499" s="4"/>
      <c r="E499" s="4"/>
      <c r="F499" s="4"/>
      <c r="G499" s="28"/>
      <c r="H499" s="29" t="str">
        <f aca="false">IF(A499="","",DATE(YEAR(A499),MONTH(A499),1))</f>
        <v/>
      </c>
    </row>
    <row r="500" customFormat="false" ht="15" hidden="false" customHeight="false" outlineLevel="0" collapsed="false">
      <c r="A500" s="26"/>
      <c r="B500" s="4"/>
      <c r="C500" s="27" t="str">
        <f aca="false">IF(B500="","",IFERROR(INDEX(Listas!$C$5:$C$40,MATCH(B500,Listas!$B$5:$B$40,0)),"?"))</f>
        <v/>
      </c>
      <c r="D500" s="4"/>
      <c r="E500" s="4"/>
      <c r="F500" s="4"/>
      <c r="G500" s="28"/>
      <c r="H500" s="29" t="str">
        <f aca="false">IF(A500="","",DATE(YEAR(A500),MONTH(A500),1))</f>
        <v/>
      </c>
    </row>
    <row r="501" customFormat="false" ht="15" hidden="false" customHeight="false" outlineLevel="0" collapsed="false">
      <c r="A501" s="26"/>
      <c r="B501" s="4"/>
      <c r="C501" s="27" t="str">
        <f aca="false">IF(B501="","",IFERROR(INDEX(Listas!$C$5:$C$40,MATCH(B501,Listas!$B$5:$B$40,0)),"?"))</f>
        <v/>
      </c>
      <c r="D501" s="4"/>
      <c r="E501" s="4"/>
      <c r="F501" s="4"/>
      <c r="G501" s="28"/>
      <c r="H501" s="29" t="str">
        <f aca="false">IF(A501="","",DATE(YEAR(A501),MONTH(A501),1))</f>
        <v/>
      </c>
    </row>
    <row r="502" customFormat="false" ht="15" hidden="false" customHeight="false" outlineLevel="0" collapsed="false">
      <c r="A502" s="26"/>
      <c r="B502" s="4"/>
      <c r="C502" s="27" t="str">
        <f aca="false">IF(B502="","",IFERROR(INDEX(Listas!$C$5:$C$40,MATCH(B502,Listas!$B$5:$B$40,0)),"?"))</f>
        <v/>
      </c>
      <c r="D502" s="4"/>
      <c r="E502" s="4"/>
      <c r="F502" s="4"/>
      <c r="G502" s="28"/>
      <c r="H502" s="29" t="str">
        <f aca="false">IF(A502="","",DATE(YEAR(A502),MONTH(A502),1))</f>
        <v/>
      </c>
    </row>
    <row r="503" customFormat="false" ht="15" hidden="false" customHeight="false" outlineLevel="0" collapsed="false">
      <c r="A503" s="26"/>
      <c r="B503" s="4"/>
      <c r="C503" s="27" t="str">
        <f aca="false">IF(B503="","",IFERROR(INDEX(Listas!$C$5:$C$40,MATCH(B503,Listas!$B$5:$B$40,0)),"?"))</f>
        <v/>
      </c>
      <c r="D503" s="4"/>
      <c r="E503" s="4"/>
      <c r="F503" s="4"/>
      <c r="G503" s="28"/>
      <c r="H503" s="29" t="str">
        <f aca="false">IF(A503="","",DATE(YEAR(A503),MONTH(A503),1))</f>
        <v/>
      </c>
    </row>
    <row r="504" customFormat="false" ht="15" hidden="false" customHeight="false" outlineLevel="0" collapsed="false">
      <c r="A504" s="26"/>
      <c r="B504" s="4"/>
      <c r="C504" s="27" t="str">
        <f aca="false">IF(B504="","",IFERROR(INDEX(Listas!$C$5:$C$40,MATCH(B504,Listas!$B$5:$B$40,0)),"?"))</f>
        <v/>
      </c>
      <c r="D504" s="4"/>
      <c r="E504" s="4"/>
      <c r="F504" s="4"/>
      <c r="G504" s="28"/>
      <c r="H504" s="29" t="str">
        <f aca="false">IF(A504="","",DATE(YEAR(A504),MONTH(A504),1))</f>
        <v/>
      </c>
    </row>
    <row r="505" customFormat="false" ht="15" hidden="false" customHeight="false" outlineLevel="0" collapsed="false">
      <c r="A505" s="26"/>
      <c r="B505" s="4"/>
      <c r="C505" s="27" t="str">
        <f aca="false">IF(B505="","",IFERROR(INDEX(Listas!$C$5:$C$40,MATCH(B505,Listas!$B$5:$B$40,0)),"?"))</f>
        <v/>
      </c>
      <c r="D505" s="4"/>
      <c r="E505" s="4"/>
      <c r="F505" s="4"/>
      <c r="G505" s="28"/>
      <c r="H505" s="29" t="str">
        <f aca="false">IF(A505="","",DATE(YEAR(A505),MONTH(A505),1))</f>
        <v/>
      </c>
    </row>
    <row r="506" customFormat="false" ht="15" hidden="false" customHeight="false" outlineLevel="0" collapsed="false">
      <c r="A506" s="26"/>
      <c r="B506" s="4"/>
      <c r="C506" s="27" t="str">
        <f aca="false">IF(B506="","",IFERROR(INDEX(Listas!$C$5:$C$40,MATCH(B506,Listas!$B$5:$B$40,0)),"?"))</f>
        <v/>
      </c>
      <c r="D506" s="4"/>
      <c r="E506" s="4"/>
      <c r="F506" s="4"/>
      <c r="G506" s="28"/>
      <c r="H506" s="29" t="str">
        <f aca="false">IF(A506="","",DATE(YEAR(A506),MONTH(A506),1))</f>
        <v/>
      </c>
    </row>
    <row r="507" customFormat="false" ht="15" hidden="false" customHeight="false" outlineLevel="0" collapsed="false">
      <c r="A507" s="26"/>
      <c r="B507" s="4"/>
      <c r="C507" s="27" t="str">
        <f aca="false">IF(B507="","",IFERROR(INDEX(Listas!$C$5:$C$40,MATCH(B507,Listas!$B$5:$B$40,0)),"?"))</f>
        <v/>
      </c>
      <c r="D507" s="4"/>
      <c r="E507" s="4"/>
      <c r="F507" s="4"/>
      <c r="G507" s="28"/>
      <c r="H507" s="29" t="str">
        <f aca="false">IF(A507="","",DATE(YEAR(A507),MONTH(A507),1))</f>
        <v/>
      </c>
    </row>
    <row r="508" customFormat="false" ht="15" hidden="false" customHeight="false" outlineLevel="0" collapsed="false">
      <c r="A508" s="26"/>
      <c r="B508" s="4"/>
      <c r="C508" s="27" t="str">
        <f aca="false">IF(B508="","",IFERROR(INDEX(Listas!$C$5:$C$40,MATCH(B508,Listas!$B$5:$B$40,0)),"?"))</f>
        <v/>
      </c>
      <c r="D508" s="4"/>
      <c r="E508" s="4"/>
      <c r="F508" s="4"/>
      <c r="G508" s="28"/>
      <c r="H508" s="29" t="str">
        <f aca="false">IF(A508="","",DATE(YEAR(A508),MONTH(A508),1))</f>
        <v/>
      </c>
    </row>
    <row r="509" customFormat="false" ht="15" hidden="false" customHeight="false" outlineLevel="0" collapsed="false">
      <c r="A509" s="26"/>
      <c r="B509" s="4"/>
      <c r="C509" s="27" t="str">
        <f aca="false">IF(B509="","",IFERROR(INDEX(Listas!$C$5:$C$40,MATCH(B509,Listas!$B$5:$B$40,0)),"?"))</f>
        <v/>
      </c>
      <c r="D509" s="4"/>
      <c r="E509" s="4"/>
      <c r="F509" s="4"/>
      <c r="G509" s="28"/>
      <c r="H509" s="29" t="str">
        <f aca="false">IF(A509="","",DATE(YEAR(A509),MONTH(A509),1))</f>
        <v/>
      </c>
    </row>
    <row r="510" customFormat="false" ht="15" hidden="false" customHeight="false" outlineLevel="0" collapsed="false">
      <c r="A510" s="26"/>
      <c r="B510" s="4"/>
      <c r="C510" s="27" t="str">
        <f aca="false">IF(B510="","",IFERROR(INDEX(Listas!$C$5:$C$40,MATCH(B510,Listas!$B$5:$B$40,0)),"?"))</f>
        <v/>
      </c>
      <c r="D510" s="4"/>
      <c r="E510" s="4"/>
      <c r="F510" s="4"/>
      <c r="G510" s="28"/>
      <c r="H510" s="29" t="str">
        <f aca="false">IF(A510="","",DATE(YEAR(A510),MONTH(A510),1))</f>
        <v/>
      </c>
    </row>
    <row r="511" customFormat="false" ht="15" hidden="false" customHeight="false" outlineLevel="0" collapsed="false">
      <c r="A511" s="26"/>
      <c r="B511" s="4"/>
      <c r="C511" s="27" t="str">
        <f aca="false">IF(B511="","",IFERROR(INDEX(Listas!$C$5:$C$40,MATCH(B511,Listas!$B$5:$B$40,0)),"?"))</f>
        <v/>
      </c>
      <c r="D511" s="4"/>
      <c r="E511" s="4"/>
      <c r="F511" s="4"/>
      <c r="G511" s="28"/>
      <c r="H511" s="29" t="str">
        <f aca="false">IF(A511="","",DATE(YEAR(A511),MONTH(A511),1))</f>
        <v/>
      </c>
    </row>
    <row r="512" customFormat="false" ht="15" hidden="false" customHeight="false" outlineLevel="0" collapsed="false">
      <c r="A512" s="26"/>
      <c r="B512" s="4"/>
      <c r="C512" s="27" t="str">
        <f aca="false">IF(B512="","",IFERROR(INDEX(Listas!$C$5:$C$40,MATCH(B512,Listas!$B$5:$B$40,0)),"?"))</f>
        <v/>
      </c>
      <c r="D512" s="4"/>
      <c r="E512" s="4"/>
      <c r="F512" s="4"/>
      <c r="G512" s="28"/>
      <c r="H512" s="29" t="str">
        <f aca="false">IF(A512="","",DATE(YEAR(A512),MONTH(A512),1))</f>
        <v/>
      </c>
    </row>
    <row r="513" customFormat="false" ht="15" hidden="false" customHeight="false" outlineLevel="0" collapsed="false">
      <c r="A513" s="26"/>
      <c r="B513" s="4"/>
      <c r="C513" s="27" t="str">
        <f aca="false">IF(B513="","",IFERROR(INDEX(Listas!$C$5:$C$40,MATCH(B513,Listas!$B$5:$B$40,0)),"?"))</f>
        <v/>
      </c>
      <c r="D513" s="4"/>
      <c r="E513" s="4"/>
      <c r="F513" s="4"/>
      <c r="G513" s="28"/>
      <c r="H513" s="29" t="str">
        <f aca="false">IF(A513="","",DATE(YEAR(A513),MONTH(A513),1))</f>
        <v/>
      </c>
    </row>
    <row r="514" customFormat="false" ht="15" hidden="false" customHeight="false" outlineLevel="0" collapsed="false">
      <c r="A514" s="26"/>
      <c r="B514" s="4"/>
      <c r="C514" s="27" t="str">
        <f aca="false">IF(B514="","",IFERROR(INDEX(Listas!$C$5:$C$40,MATCH(B514,Listas!$B$5:$B$40,0)),"?"))</f>
        <v/>
      </c>
      <c r="D514" s="4"/>
      <c r="E514" s="4"/>
      <c r="F514" s="4"/>
      <c r="G514" s="28"/>
      <c r="H514" s="29" t="str">
        <f aca="false">IF(A514="","",DATE(YEAR(A514),MONTH(A514),1))</f>
        <v/>
      </c>
    </row>
    <row r="515" customFormat="false" ht="15" hidden="false" customHeight="false" outlineLevel="0" collapsed="false">
      <c r="A515" s="26"/>
      <c r="B515" s="4"/>
      <c r="C515" s="27" t="str">
        <f aca="false">IF(B515="","",IFERROR(INDEX(Listas!$C$5:$C$40,MATCH(B515,Listas!$B$5:$B$40,0)),"?"))</f>
        <v/>
      </c>
      <c r="D515" s="4"/>
      <c r="E515" s="4"/>
      <c r="F515" s="4"/>
      <c r="G515" s="28"/>
      <c r="H515" s="29" t="str">
        <f aca="false">IF(A515="","",DATE(YEAR(A515),MONTH(A515),1))</f>
        <v/>
      </c>
    </row>
    <row r="516" customFormat="false" ht="15" hidden="false" customHeight="false" outlineLevel="0" collapsed="false">
      <c r="A516" s="26"/>
      <c r="B516" s="4"/>
      <c r="C516" s="27" t="str">
        <f aca="false">IF(B516="","",IFERROR(INDEX(Listas!$C$5:$C$40,MATCH(B516,Listas!$B$5:$B$40,0)),"?"))</f>
        <v/>
      </c>
      <c r="D516" s="4"/>
      <c r="E516" s="4"/>
      <c r="F516" s="4"/>
      <c r="G516" s="28"/>
      <c r="H516" s="29" t="str">
        <f aca="false">IF(A516="","",DATE(YEAR(A516),MONTH(A516),1))</f>
        <v/>
      </c>
    </row>
    <row r="517" customFormat="false" ht="15" hidden="false" customHeight="false" outlineLevel="0" collapsed="false">
      <c r="A517" s="26"/>
      <c r="B517" s="4"/>
      <c r="C517" s="27" t="str">
        <f aca="false">IF(B517="","",IFERROR(INDEX(Listas!$C$5:$C$40,MATCH(B517,Listas!$B$5:$B$40,0)),"?"))</f>
        <v/>
      </c>
      <c r="D517" s="4"/>
      <c r="E517" s="4"/>
      <c r="F517" s="4"/>
      <c r="G517" s="28"/>
      <c r="H517" s="29" t="str">
        <f aca="false">IF(A517="","",DATE(YEAR(A517),MONTH(A517),1))</f>
        <v/>
      </c>
    </row>
    <row r="518" customFormat="false" ht="15" hidden="false" customHeight="false" outlineLevel="0" collapsed="false">
      <c r="A518" s="26"/>
      <c r="B518" s="4"/>
      <c r="C518" s="27" t="str">
        <f aca="false">IF(B518="","",IFERROR(INDEX(Listas!$C$5:$C$40,MATCH(B518,Listas!$B$5:$B$40,0)),"?"))</f>
        <v/>
      </c>
      <c r="D518" s="4"/>
      <c r="E518" s="4"/>
      <c r="F518" s="4"/>
      <c r="G518" s="28"/>
      <c r="H518" s="29" t="str">
        <f aca="false">IF(A518="","",DATE(YEAR(A518),MONTH(A518),1))</f>
        <v/>
      </c>
    </row>
    <row r="519" customFormat="false" ht="15" hidden="false" customHeight="false" outlineLevel="0" collapsed="false">
      <c r="A519" s="26"/>
      <c r="B519" s="4"/>
      <c r="C519" s="27" t="str">
        <f aca="false">IF(B519="","",IFERROR(INDEX(Listas!$C$5:$C$40,MATCH(B519,Listas!$B$5:$B$40,0)),"?"))</f>
        <v/>
      </c>
      <c r="D519" s="4"/>
      <c r="E519" s="4"/>
      <c r="F519" s="4"/>
      <c r="G519" s="28"/>
      <c r="H519" s="29" t="str">
        <f aca="false">IF(A519="","",DATE(YEAR(A519),MONTH(A519),1))</f>
        <v/>
      </c>
    </row>
    <row r="520" customFormat="false" ht="15" hidden="false" customHeight="false" outlineLevel="0" collapsed="false">
      <c r="A520" s="26"/>
      <c r="B520" s="4"/>
      <c r="C520" s="27" t="str">
        <f aca="false">IF(B520="","",IFERROR(INDEX(Listas!$C$5:$C$40,MATCH(B520,Listas!$B$5:$B$40,0)),"?"))</f>
        <v/>
      </c>
      <c r="D520" s="4"/>
      <c r="E520" s="4"/>
      <c r="F520" s="4"/>
      <c r="G520" s="28"/>
      <c r="H520" s="29" t="str">
        <f aca="false">IF(A520="","",DATE(YEAR(A520),MONTH(A520),1))</f>
        <v/>
      </c>
    </row>
    <row r="521" customFormat="false" ht="15" hidden="false" customHeight="false" outlineLevel="0" collapsed="false">
      <c r="A521" s="26"/>
      <c r="B521" s="4"/>
      <c r="C521" s="27" t="str">
        <f aca="false">IF(B521="","",IFERROR(INDEX(Listas!$C$5:$C$40,MATCH(B521,Listas!$B$5:$B$40,0)),"?"))</f>
        <v/>
      </c>
      <c r="D521" s="4"/>
      <c r="E521" s="4"/>
      <c r="F521" s="4"/>
      <c r="G521" s="28"/>
      <c r="H521" s="29" t="str">
        <f aca="false">IF(A521="","",DATE(YEAR(A521),MONTH(A521),1))</f>
        <v/>
      </c>
    </row>
    <row r="522" customFormat="false" ht="15" hidden="false" customHeight="false" outlineLevel="0" collapsed="false">
      <c r="A522" s="26"/>
      <c r="B522" s="4"/>
      <c r="C522" s="27" t="str">
        <f aca="false">IF(B522="","",IFERROR(INDEX(Listas!$C$5:$C$40,MATCH(B522,Listas!$B$5:$B$40,0)),"?"))</f>
        <v/>
      </c>
      <c r="D522" s="4"/>
      <c r="E522" s="4"/>
      <c r="F522" s="4"/>
      <c r="G522" s="28"/>
      <c r="H522" s="29" t="str">
        <f aca="false">IF(A522="","",DATE(YEAR(A522),MONTH(A522),1))</f>
        <v/>
      </c>
    </row>
    <row r="523" customFormat="false" ht="15" hidden="false" customHeight="false" outlineLevel="0" collapsed="false">
      <c r="A523" s="26"/>
      <c r="B523" s="4"/>
      <c r="C523" s="27" t="str">
        <f aca="false">IF(B523="","",IFERROR(INDEX(Listas!$C$5:$C$40,MATCH(B523,Listas!$B$5:$B$40,0)),"?"))</f>
        <v/>
      </c>
      <c r="D523" s="4"/>
      <c r="E523" s="4"/>
      <c r="F523" s="4"/>
      <c r="G523" s="28"/>
      <c r="H523" s="29" t="str">
        <f aca="false">IF(A523="","",DATE(YEAR(A523),MONTH(A523),1))</f>
        <v/>
      </c>
    </row>
    <row r="524" customFormat="false" ht="15" hidden="false" customHeight="false" outlineLevel="0" collapsed="false">
      <c r="A524" s="26"/>
      <c r="B524" s="4"/>
      <c r="C524" s="27" t="str">
        <f aca="false">IF(B524="","",IFERROR(INDEX(Listas!$C$5:$C$40,MATCH(B524,Listas!$B$5:$B$40,0)),"?"))</f>
        <v/>
      </c>
      <c r="D524" s="4"/>
      <c r="E524" s="4"/>
      <c r="F524" s="4"/>
      <c r="G524" s="28"/>
      <c r="H524" s="29" t="str">
        <f aca="false">IF(A524="","",DATE(YEAR(A524),MONTH(A524),1))</f>
        <v/>
      </c>
    </row>
    <row r="525" customFormat="false" ht="15" hidden="false" customHeight="false" outlineLevel="0" collapsed="false">
      <c r="A525" s="26"/>
      <c r="B525" s="4"/>
      <c r="C525" s="27" t="str">
        <f aca="false">IF(B525="","",IFERROR(INDEX(Listas!$C$5:$C$40,MATCH(B525,Listas!$B$5:$B$40,0)),"?"))</f>
        <v/>
      </c>
      <c r="D525" s="4"/>
      <c r="E525" s="4"/>
      <c r="F525" s="4"/>
      <c r="G525" s="28"/>
      <c r="H525" s="29" t="str">
        <f aca="false">IF(A525="","",DATE(YEAR(A525),MONTH(A525),1))</f>
        <v/>
      </c>
    </row>
    <row r="526" customFormat="false" ht="15" hidden="false" customHeight="false" outlineLevel="0" collapsed="false">
      <c r="A526" s="26"/>
      <c r="B526" s="4"/>
      <c r="C526" s="27" t="str">
        <f aca="false">IF(B526="","",IFERROR(INDEX(Listas!$C$5:$C$40,MATCH(B526,Listas!$B$5:$B$40,0)),"?"))</f>
        <v/>
      </c>
      <c r="D526" s="4"/>
      <c r="E526" s="4"/>
      <c r="F526" s="4"/>
      <c r="G526" s="28"/>
      <c r="H526" s="29" t="str">
        <f aca="false">IF(A526="","",DATE(YEAR(A526),MONTH(A526),1))</f>
        <v/>
      </c>
    </row>
    <row r="527" customFormat="false" ht="15" hidden="false" customHeight="false" outlineLevel="0" collapsed="false">
      <c r="A527" s="26"/>
      <c r="B527" s="4"/>
      <c r="C527" s="27" t="str">
        <f aca="false">IF(B527="","",IFERROR(INDEX(Listas!$C$5:$C$40,MATCH(B527,Listas!$B$5:$B$40,0)),"?"))</f>
        <v/>
      </c>
      <c r="D527" s="4"/>
      <c r="E527" s="4"/>
      <c r="F527" s="4"/>
      <c r="G527" s="28"/>
      <c r="H527" s="29" t="str">
        <f aca="false">IF(A527="","",DATE(YEAR(A527),MONTH(A527),1))</f>
        <v/>
      </c>
    </row>
    <row r="528" customFormat="false" ht="15" hidden="false" customHeight="false" outlineLevel="0" collapsed="false">
      <c r="A528" s="26"/>
      <c r="B528" s="4"/>
      <c r="C528" s="27" t="str">
        <f aca="false">IF(B528="","",IFERROR(INDEX(Listas!$C$5:$C$40,MATCH(B528,Listas!$B$5:$B$40,0)),"?"))</f>
        <v/>
      </c>
      <c r="D528" s="4"/>
      <c r="E528" s="4"/>
      <c r="F528" s="4"/>
      <c r="G528" s="28"/>
      <c r="H528" s="29" t="str">
        <f aca="false">IF(A528="","",DATE(YEAR(A528),MONTH(A528),1))</f>
        <v/>
      </c>
    </row>
    <row r="529" customFormat="false" ht="15" hidden="false" customHeight="false" outlineLevel="0" collapsed="false">
      <c r="A529" s="26"/>
      <c r="B529" s="4"/>
      <c r="C529" s="27" t="str">
        <f aca="false">IF(B529="","",IFERROR(INDEX(Listas!$C$5:$C$40,MATCH(B529,Listas!$B$5:$B$40,0)),"?"))</f>
        <v/>
      </c>
      <c r="D529" s="4"/>
      <c r="E529" s="4"/>
      <c r="F529" s="4"/>
      <c r="G529" s="28"/>
      <c r="H529" s="29" t="str">
        <f aca="false">IF(A529="","",DATE(YEAR(A529),MONTH(A529),1))</f>
        <v/>
      </c>
    </row>
    <row r="530" customFormat="false" ht="15" hidden="false" customHeight="false" outlineLevel="0" collapsed="false">
      <c r="A530" s="26"/>
      <c r="B530" s="4"/>
      <c r="C530" s="27" t="str">
        <f aca="false">IF(B530="","",IFERROR(INDEX(Listas!$C$5:$C$40,MATCH(B530,Listas!$B$5:$B$40,0)),"?"))</f>
        <v/>
      </c>
      <c r="D530" s="4"/>
      <c r="E530" s="4"/>
      <c r="F530" s="4"/>
      <c r="G530" s="28"/>
      <c r="H530" s="29" t="str">
        <f aca="false">IF(A530="","",DATE(YEAR(A530),MONTH(A530),1))</f>
        <v/>
      </c>
    </row>
    <row r="531" customFormat="false" ht="15" hidden="false" customHeight="false" outlineLevel="0" collapsed="false">
      <c r="A531" s="26"/>
      <c r="B531" s="4"/>
      <c r="C531" s="27" t="str">
        <f aca="false">IF(B531="","",IFERROR(INDEX(Listas!$C$5:$C$40,MATCH(B531,Listas!$B$5:$B$40,0)),"?"))</f>
        <v/>
      </c>
      <c r="D531" s="4"/>
      <c r="E531" s="4"/>
      <c r="F531" s="4"/>
      <c r="G531" s="28"/>
      <c r="H531" s="29" t="str">
        <f aca="false">IF(A531="","",DATE(YEAR(A531),MONTH(A531),1))</f>
        <v/>
      </c>
    </row>
    <row r="532" customFormat="false" ht="15" hidden="false" customHeight="false" outlineLevel="0" collapsed="false">
      <c r="A532" s="26"/>
      <c r="B532" s="4"/>
      <c r="C532" s="27" t="str">
        <f aca="false">IF(B532="","",IFERROR(INDEX(Listas!$C$5:$C$40,MATCH(B532,Listas!$B$5:$B$40,0)),"?"))</f>
        <v/>
      </c>
      <c r="D532" s="4"/>
      <c r="E532" s="4"/>
      <c r="F532" s="4"/>
      <c r="G532" s="28"/>
      <c r="H532" s="29" t="str">
        <f aca="false">IF(A532="","",DATE(YEAR(A532),MONTH(A532),1))</f>
        <v/>
      </c>
    </row>
    <row r="533" customFormat="false" ht="15" hidden="false" customHeight="false" outlineLevel="0" collapsed="false">
      <c r="A533" s="26"/>
      <c r="B533" s="4"/>
      <c r="C533" s="27" t="str">
        <f aca="false">IF(B533="","",IFERROR(INDEX(Listas!$C$5:$C$40,MATCH(B533,Listas!$B$5:$B$40,0)),"?"))</f>
        <v/>
      </c>
      <c r="D533" s="4"/>
      <c r="E533" s="4"/>
      <c r="F533" s="4"/>
      <c r="G533" s="28"/>
      <c r="H533" s="29" t="str">
        <f aca="false">IF(A533="","",DATE(YEAR(A533),MONTH(A533),1))</f>
        <v/>
      </c>
    </row>
    <row r="534" customFormat="false" ht="15" hidden="false" customHeight="false" outlineLevel="0" collapsed="false">
      <c r="A534" s="26"/>
      <c r="B534" s="4"/>
      <c r="C534" s="27" t="str">
        <f aca="false">IF(B534="","",IFERROR(INDEX(Listas!$C$5:$C$40,MATCH(B534,Listas!$B$5:$B$40,0)),"?"))</f>
        <v/>
      </c>
      <c r="D534" s="4"/>
      <c r="E534" s="4"/>
      <c r="F534" s="4"/>
      <c r="G534" s="28"/>
      <c r="H534" s="29" t="str">
        <f aca="false">IF(A534="","",DATE(YEAR(A534),MONTH(A534),1))</f>
        <v/>
      </c>
    </row>
    <row r="535" customFormat="false" ht="15" hidden="false" customHeight="false" outlineLevel="0" collapsed="false">
      <c r="A535" s="26"/>
      <c r="B535" s="4"/>
      <c r="C535" s="27" t="str">
        <f aca="false">IF(B535="","",IFERROR(INDEX(Listas!$C$5:$C$40,MATCH(B535,Listas!$B$5:$B$40,0)),"?"))</f>
        <v/>
      </c>
      <c r="D535" s="4"/>
      <c r="E535" s="4"/>
      <c r="F535" s="4"/>
      <c r="G535" s="28"/>
      <c r="H535" s="29" t="str">
        <f aca="false">IF(A535="","",DATE(YEAR(A535),MONTH(A535),1))</f>
        <v/>
      </c>
    </row>
    <row r="536" customFormat="false" ht="15" hidden="false" customHeight="false" outlineLevel="0" collapsed="false">
      <c r="A536" s="26"/>
      <c r="B536" s="4"/>
      <c r="C536" s="27" t="str">
        <f aca="false">IF(B536="","",IFERROR(INDEX(Listas!$C$5:$C$40,MATCH(B536,Listas!$B$5:$B$40,0)),"?"))</f>
        <v/>
      </c>
      <c r="D536" s="4"/>
      <c r="E536" s="4"/>
      <c r="F536" s="4"/>
      <c r="G536" s="28"/>
      <c r="H536" s="29" t="str">
        <f aca="false">IF(A536="","",DATE(YEAR(A536),MONTH(A536),1))</f>
        <v/>
      </c>
    </row>
    <row r="537" customFormat="false" ht="15" hidden="false" customHeight="false" outlineLevel="0" collapsed="false">
      <c r="A537" s="26"/>
      <c r="B537" s="4"/>
      <c r="C537" s="27" t="str">
        <f aca="false">IF(B537="","",IFERROR(INDEX(Listas!$C$5:$C$40,MATCH(B537,Listas!$B$5:$B$40,0)),"?"))</f>
        <v/>
      </c>
      <c r="D537" s="4"/>
      <c r="E537" s="4"/>
      <c r="F537" s="4"/>
      <c r="G537" s="28"/>
      <c r="H537" s="29" t="str">
        <f aca="false">IF(A537="","",DATE(YEAR(A537),MONTH(A537),1))</f>
        <v/>
      </c>
    </row>
    <row r="538" customFormat="false" ht="15" hidden="false" customHeight="false" outlineLevel="0" collapsed="false">
      <c r="A538" s="26"/>
      <c r="B538" s="4"/>
      <c r="C538" s="27" t="str">
        <f aca="false">IF(B538="","",IFERROR(INDEX(Listas!$C$5:$C$40,MATCH(B538,Listas!$B$5:$B$40,0)),"?"))</f>
        <v/>
      </c>
      <c r="D538" s="4"/>
      <c r="E538" s="4"/>
      <c r="F538" s="4"/>
      <c r="G538" s="28"/>
      <c r="H538" s="29" t="str">
        <f aca="false">IF(A538="","",DATE(YEAR(A538),MONTH(A538),1))</f>
        <v/>
      </c>
    </row>
    <row r="539" customFormat="false" ht="15" hidden="false" customHeight="false" outlineLevel="0" collapsed="false">
      <c r="A539" s="26"/>
      <c r="B539" s="4"/>
      <c r="C539" s="27" t="str">
        <f aca="false">IF(B539="","",IFERROR(INDEX(Listas!$C$5:$C$40,MATCH(B539,Listas!$B$5:$B$40,0)),"?"))</f>
        <v/>
      </c>
      <c r="D539" s="4"/>
      <c r="E539" s="4"/>
      <c r="F539" s="4"/>
      <c r="G539" s="28"/>
      <c r="H539" s="29" t="str">
        <f aca="false">IF(A539="","",DATE(YEAR(A539),MONTH(A539),1))</f>
        <v/>
      </c>
    </row>
    <row r="540" customFormat="false" ht="15" hidden="false" customHeight="false" outlineLevel="0" collapsed="false">
      <c r="A540" s="26"/>
      <c r="B540" s="4"/>
      <c r="C540" s="27" t="str">
        <f aca="false">IF(B540="","",IFERROR(INDEX(Listas!$C$5:$C$40,MATCH(B540,Listas!$B$5:$B$40,0)),"?"))</f>
        <v/>
      </c>
      <c r="D540" s="4"/>
      <c r="E540" s="4"/>
      <c r="F540" s="4"/>
      <c r="G540" s="28"/>
      <c r="H540" s="29" t="str">
        <f aca="false">IF(A540="","",DATE(YEAR(A540),MONTH(A540),1))</f>
        <v/>
      </c>
    </row>
    <row r="541" customFormat="false" ht="15" hidden="false" customHeight="false" outlineLevel="0" collapsed="false">
      <c r="A541" s="26"/>
      <c r="B541" s="4"/>
      <c r="C541" s="27" t="str">
        <f aca="false">IF(B541="","",IFERROR(INDEX(Listas!$C$5:$C$40,MATCH(B541,Listas!$B$5:$B$40,0)),"?"))</f>
        <v/>
      </c>
      <c r="D541" s="4"/>
      <c r="E541" s="4"/>
      <c r="F541" s="4"/>
      <c r="G541" s="28"/>
      <c r="H541" s="29" t="str">
        <f aca="false">IF(A541="","",DATE(YEAR(A541),MONTH(A541),1))</f>
        <v/>
      </c>
    </row>
    <row r="542" customFormat="false" ht="15" hidden="false" customHeight="false" outlineLevel="0" collapsed="false">
      <c r="A542" s="26"/>
      <c r="B542" s="4"/>
      <c r="C542" s="27" t="str">
        <f aca="false">IF(B542="","",IFERROR(INDEX(Listas!$C$5:$C$40,MATCH(B542,Listas!$B$5:$B$40,0)),"?"))</f>
        <v/>
      </c>
      <c r="D542" s="4"/>
      <c r="E542" s="4"/>
      <c r="F542" s="4"/>
      <c r="G542" s="28"/>
      <c r="H542" s="29" t="str">
        <f aca="false">IF(A542="","",DATE(YEAR(A542),MONTH(A542),1))</f>
        <v/>
      </c>
    </row>
    <row r="543" customFormat="false" ht="15" hidden="false" customHeight="false" outlineLevel="0" collapsed="false">
      <c r="A543" s="26"/>
      <c r="B543" s="4"/>
      <c r="C543" s="27" t="str">
        <f aca="false">IF(B543="","",IFERROR(INDEX(Listas!$C$5:$C$40,MATCH(B543,Listas!$B$5:$B$40,0)),"?"))</f>
        <v/>
      </c>
      <c r="D543" s="4"/>
      <c r="E543" s="4"/>
      <c r="F543" s="4"/>
      <c r="G543" s="28"/>
      <c r="H543" s="29" t="str">
        <f aca="false">IF(A543="","",DATE(YEAR(A543),MONTH(A543),1))</f>
        <v/>
      </c>
    </row>
    <row r="544" customFormat="false" ht="15" hidden="false" customHeight="false" outlineLevel="0" collapsed="false">
      <c r="A544" s="26"/>
      <c r="B544" s="4"/>
      <c r="C544" s="27" t="str">
        <f aca="false">IF(B544="","",IFERROR(INDEX(Listas!$C$5:$C$40,MATCH(B544,Listas!$B$5:$B$40,0)),"?"))</f>
        <v/>
      </c>
      <c r="D544" s="4"/>
      <c r="E544" s="4"/>
      <c r="F544" s="4"/>
      <c r="G544" s="28"/>
      <c r="H544" s="29" t="str">
        <f aca="false">IF(A544="","",DATE(YEAR(A544),MONTH(A544),1))</f>
        <v/>
      </c>
    </row>
    <row r="545" customFormat="false" ht="15" hidden="false" customHeight="false" outlineLevel="0" collapsed="false">
      <c r="A545" s="26"/>
      <c r="B545" s="4"/>
      <c r="C545" s="27" t="str">
        <f aca="false">IF(B545="","",IFERROR(INDEX(Listas!$C$5:$C$40,MATCH(B545,Listas!$B$5:$B$40,0)),"?"))</f>
        <v/>
      </c>
      <c r="D545" s="4"/>
      <c r="E545" s="4"/>
      <c r="F545" s="4"/>
      <c r="G545" s="28"/>
      <c r="H545" s="29" t="str">
        <f aca="false">IF(A545="","",DATE(YEAR(A545),MONTH(A545),1))</f>
        <v/>
      </c>
    </row>
    <row r="546" customFormat="false" ht="15" hidden="false" customHeight="false" outlineLevel="0" collapsed="false">
      <c r="A546" s="26"/>
      <c r="B546" s="4"/>
      <c r="C546" s="27" t="str">
        <f aca="false">IF(B546="","",IFERROR(INDEX(Listas!$C$5:$C$40,MATCH(B546,Listas!$B$5:$B$40,0)),"?"))</f>
        <v/>
      </c>
      <c r="D546" s="4"/>
      <c r="E546" s="4"/>
      <c r="F546" s="4"/>
      <c r="G546" s="28"/>
      <c r="H546" s="29" t="str">
        <f aca="false">IF(A546="","",DATE(YEAR(A546),MONTH(A546),1))</f>
        <v/>
      </c>
    </row>
    <row r="547" customFormat="false" ht="15" hidden="false" customHeight="false" outlineLevel="0" collapsed="false">
      <c r="A547" s="26"/>
      <c r="B547" s="4"/>
      <c r="C547" s="27" t="str">
        <f aca="false">IF(B547="","",IFERROR(INDEX(Listas!$C$5:$C$40,MATCH(B547,Listas!$B$5:$B$40,0)),"?"))</f>
        <v/>
      </c>
      <c r="D547" s="4"/>
      <c r="E547" s="4"/>
      <c r="F547" s="4"/>
      <c r="G547" s="28"/>
      <c r="H547" s="29" t="str">
        <f aca="false">IF(A547="","",DATE(YEAR(A547),MONTH(A547),1))</f>
        <v/>
      </c>
    </row>
    <row r="548" customFormat="false" ht="15" hidden="false" customHeight="false" outlineLevel="0" collapsed="false">
      <c r="A548" s="26"/>
      <c r="B548" s="4"/>
      <c r="C548" s="27" t="str">
        <f aca="false">IF(B548="","",IFERROR(INDEX(Listas!$C$5:$C$40,MATCH(B548,Listas!$B$5:$B$40,0)),"?"))</f>
        <v/>
      </c>
      <c r="D548" s="4"/>
      <c r="E548" s="4"/>
      <c r="F548" s="4"/>
      <c r="G548" s="28"/>
      <c r="H548" s="29" t="str">
        <f aca="false">IF(A548="","",DATE(YEAR(A548),MONTH(A548),1))</f>
        <v/>
      </c>
    </row>
    <row r="549" customFormat="false" ht="15" hidden="false" customHeight="false" outlineLevel="0" collapsed="false">
      <c r="A549" s="26"/>
      <c r="B549" s="4"/>
      <c r="C549" s="27" t="str">
        <f aca="false">IF(B549="","",IFERROR(INDEX(Listas!$C$5:$C$40,MATCH(B549,Listas!$B$5:$B$40,0)),"?"))</f>
        <v/>
      </c>
      <c r="D549" s="4"/>
      <c r="E549" s="4"/>
      <c r="F549" s="4"/>
      <c r="G549" s="28"/>
      <c r="H549" s="29" t="str">
        <f aca="false">IF(A549="","",DATE(YEAR(A549),MONTH(A549),1))</f>
        <v/>
      </c>
    </row>
    <row r="550" customFormat="false" ht="15" hidden="false" customHeight="false" outlineLevel="0" collapsed="false">
      <c r="A550" s="26"/>
      <c r="B550" s="4"/>
      <c r="C550" s="27" t="str">
        <f aca="false">IF(B550="","",IFERROR(INDEX(Listas!$C$5:$C$40,MATCH(B550,Listas!$B$5:$B$40,0)),"?"))</f>
        <v/>
      </c>
      <c r="D550" s="4"/>
      <c r="E550" s="4"/>
      <c r="F550" s="4"/>
      <c r="G550" s="28"/>
      <c r="H550" s="29" t="str">
        <f aca="false">IF(A550="","",DATE(YEAR(A550),MONTH(A550),1))</f>
        <v/>
      </c>
    </row>
    <row r="551" customFormat="false" ht="15" hidden="false" customHeight="false" outlineLevel="0" collapsed="false">
      <c r="A551" s="26"/>
      <c r="B551" s="4"/>
      <c r="C551" s="27" t="str">
        <f aca="false">IF(B551="","",IFERROR(INDEX(Listas!$C$5:$C$40,MATCH(B551,Listas!$B$5:$B$40,0)),"?"))</f>
        <v/>
      </c>
      <c r="D551" s="4"/>
      <c r="E551" s="4"/>
      <c r="F551" s="4"/>
      <c r="G551" s="28"/>
      <c r="H551" s="29" t="str">
        <f aca="false">IF(A551="","",DATE(YEAR(A551),MONTH(A551),1))</f>
        <v/>
      </c>
    </row>
    <row r="552" customFormat="false" ht="15" hidden="false" customHeight="false" outlineLevel="0" collapsed="false">
      <c r="A552" s="26"/>
      <c r="B552" s="4"/>
      <c r="C552" s="27" t="str">
        <f aca="false">IF(B552="","",IFERROR(INDEX(Listas!$C$5:$C$40,MATCH(B552,Listas!$B$5:$B$40,0)),"?"))</f>
        <v/>
      </c>
      <c r="D552" s="4"/>
      <c r="E552" s="4"/>
      <c r="F552" s="4"/>
      <c r="G552" s="28"/>
      <c r="H552" s="29" t="str">
        <f aca="false">IF(A552="","",DATE(YEAR(A552),MONTH(A552),1))</f>
        <v/>
      </c>
    </row>
    <row r="553" customFormat="false" ht="15" hidden="false" customHeight="false" outlineLevel="0" collapsed="false">
      <c r="A553" s="26"/>
      <c r="B553" s="4"/>
      <c r="C553" s="27" t="str">
        <f aca="false">IF(B553="","",IFERROR(INDEX(Listas!$C$5:$C$40,MATCH(B553,Listas!$B$5:$B$40,0)),"?"))</f>
        <v/>
      </c>
      <c r="D553" s="4"/>
      <c r="E553" s="4"/>
      <c r="F553" s="4"/>
      <c r="G553" s="28"/>
      <c r="H553" s="29" t="str">
        <f aca="false">IF(A553="","",DATE(YEAR(A553),MONTH(A553),1))</f>
        <v/>
      </c>
    </row>
    <row r="554" customFormat="false" ht="15" hidden="false" customHeight="false" outlineLevel="0" collapsed="false">
      <c r="A554" s="26"/>
      <c r="B554" s="4"/>
      <c r="C554" s="27" t="str">
        <f aca="false">IF(B554="","",IFERROR(INDEX(Listas!$C$5:$C$40,MATCH(B554,Listas!$B$5:$B$40,0)),"?"))</f>
        <v/>
      </c>
      <c r="D554" s="4"/>
      <c r="E554" s="4"/>
      <c r="F554" s="4"/>
      <c r="G554" s="28"/>
      <c r="H554" s="29" t="str">
        <f aca="false">IF(A554="","",DATE(YEAR(A554),MONTH(A554),1))</f>
        <v/>
      </c>
    </row>
    <row r="555" customFormat="false" ht="15" hidden="false" customHeight="false" outlineLevel="0" collapsed="false">
      <c r="A555" s="26"/>
      <c r="B555" s="4"/>
      <c r="C555" s="27" t="str">
        <f aca="false">IF(B555="","",IFERROR(INDEX(Listas!$C$5:$C$40,MATCH(B555,Listas!$B$5:$B$40,0)),"?"))</f>
        <v/>
      </c>
      <c r="D555" s="4"/>
      <c r="E555" s="4"/>
      <c r="F555" s="4"/>
      <c r="G555" s="28"/>
      <c r="H555" s="29" t="str">
        <f aca="false">IF(A555="","",DATE(YEAR(A555),MONTH(A555),1))</f>
        <v/>
      </c>
    </row>
    <row r="556" customFormat="false" ht="15" hidden="false" customHeight="false" outlineLevel="0" collapsed="false">
      <c r="A556" s="26"/>
      <c r="B556" s="4"/>
      <c r="C556" s="27" t="str">
        <f aca="false">IF(B556="","",IFERROR(INDEX(Listas!$C$5:$C$40,MATCH(B556,Listas!$B$5:$B$40,0)),"?"))</f>
        <v/>
      </c>
      <c r="D556" s="4"/>
      <c r="E556" s="4"/>
      <c r="F556" s="4"/>
      <c r="G556" s="28"/>
      <c r="H556" s="29" t="str">
        <f aca="false">IF(A556="","",DATE(YEAR(A556),MONTH(A556),1))</f>
        <v/>
      </c>
    </row>
    <row r="557" customFormat="false" ht="15" hidden="false" customHeight="false" outlineLevel="0" collapsed="false">
      <c r="A557" s="26"/>
      <c r="B557" s="4"/>
      <c r="C557" s="27" t="str">
        <f aca="false">IF(B557="","",IFERROR(INDEX(Listas!$C$5:$C$40,MATCH(B557,Listas!$B$5:$B$40,0)),"?"))</f>
        <v/>
      </c>
      <c r="D557" s="4"/>
      <c r="E557" s="4"/>
      <c r="F557" s="4"/>
      <c r="G557" s="28"/>
      <c r="H557" s="29" t="str">
        <f aca="false">IF(A557="","",DATE(YEAR(A557),MONTH(A557),1))</f>
        <v/>
      </c>
    </row>
    <row r="558" customFormat="false" ht="15" hidden="false" customHeight="false" outlineLevel="0" collapsed="false">
      <c r="A558" s="26"/>
      <c r="B558" s="4"/>
      <c r="C558" s="27" t="str">
        <f aca="false">IF(B558="","",IFERROR(INDEX(Listas!$C$5:$C$40,MATCH(B558,Listas!$B$5:$B$40,0)),"?"))</f>
        <v/>
      </c>
      <c r="D558" s="4"/>
      <c r="E558" s="4"/>
      <c r="F558" s="4"/>
      <c r="G558" s="28"/>
      <c r="H558" s="29" t="str">
        <f aca="false">IF(A558="","",DATE(YEAR(A558),MONTH(A558),1))</f>
        <v/>
      </c>
    </row>
    <row r="559" customFormat="false" ht="15" hidden="false" customHeight="false" outlineLevel="0" collapsed="false">
      <c r="A559" s="26"/>
      <c r="B559" s="4"/>
      <c r="C559" s="27" t="str">
        <f aca="false">IF(B559="","",IFERROR(INDEX(Listas!$C$5:$C$40,MATCH(B559,Listas!$B$5:$B$40,0)),"?"))</f>
        <v/>
      </c>
      <c r="D559" s="4"/>
      <c r="E559" s="4"/>
      <c r="F559" s="4"/>
      <c r="G559" s="28"/>
      <c r="H559" s="29" t="str">
        <f aca="false">IF(A559="","",DATE(YEAR(A559),MONTH(A559),1))</f>
        <v/>
      </c>
    </row>
    <row r="560" customFormat="false" ht="15" hidden="false" customHeight="false" outlineLevel="0" collapsed="false">
      <c r="A560" s="26"/>
      <c r="B560" s="4"/>
      <c r="C560" s="27" t="str">
        <f aca="false">IF(B560="","",IFERROR(INDEX(Listas!$C$5:$C$40,MATCH(B560,Listas!$B$5:$B$40,0)),"?"))</f>
        <v/>
      </c>
      <c r="D560" s="4"/>
      <c r="E560" s="4"/>
      <c r="F560" s="4"/>
      <c r="G560" s="28"/>
      <c r="H560" s="29" t="str">
        <f aca="false">IF(A560="","",DATE(YEAR(A560),MONTH(A560),1))</f>
        <v/>
      </c>
    </row>
    <row r="561" customFormat="false" ht="15" hidden="false" customHeight="false" outlineLevel="0" collapsed="false">
      <c r="A561" s="26"/>
      <c r="B561" s="4"/>
      <c r="C561" s="27" t="str">
        <f aca="false">IF(B561="","",IFERROR(INDEX(Listas!$C$5:$C$40,MATCH(B561,Listas!$B$5:$B$40,0)),"?"))</f>
        <v/>
      </c>
      <c r="D561" s="4"/>
      <c r="E561" s="4"/>
      <c r="F561" s="4"/>
      <c r="G561" s="28"/>
      <c r="H561" s="29" t="str">
        <f aca="false">IF(A561="","",DATE(YEAR(A561),MONTH(A561),1))</f>
        <v/>
      </c>
    </row>
    <row r="562" customFormat="false" ht="15" hidden="false" customHeight="false" outlineLevel="0" collapsed="false">
      <c r="A562" s="26"/>
      <c r="B562" s="4"/>
      <c r="C562" s="27" t="str">
        <f aca="false">IF(B562="","",IFERROR(INDEX(Listas!$C$5:$C$40,MATCH(B562,Listas!$B$5:$B$40,0)),"?"))</f>
        <v/>
      </c>
      <c r="D562" s="4"/>
      <c r="E562" s="4"/>
      <c r="F562" s="4"/>
      <c r="G562" s="28"/>
      <c r="H562" s="29" t="str">
        <f aca="false">IF(A562="","",DATE(YEAR(A562),MONTH(A562),1))</f>
        <v/>
      </c>
    </row>
    <row r="563" customFormat="false" ht="15" hidden="false" customHeight="false" outlineLevel="0" collapsed="false">
      <c r="A563" s="26"/>
      <c r="B563" s="4"/>
      <c r="C563" s="27" t="str">
        <f aca="false">IF(B563="","",IFERROR(INDEX(Listas!$C$5:$C$40,MATCH(B563,Listas!$B$5:$B$40,0)),"?"))</f>
        <v/>
      </c>
      <c r="D563" s="4"/>
      <c r="E563" s="4"/>
      <c r="F563" s="4"/>
      <c r="G563" s="28"/>
      <c r="H563" s="29" t="str">
        <f aca="false">IF(A563="","",DATE(YEAR(A563),MONTH(A563),1))</f>
        <v/>
      </c>
    </row>
    <row r="564" customFormat="false" ht="15" hidden="false" customHeight="false" outlineLevel="0" collapsed="false">
      <c r="A564" s="26"/>
      <c r="B564" s="4"/>
      <c r="C564" s="27" t="str">
        <f aca="false">IF(B564="","",IFERROR(INDEX(Listas!$C$5:$C$40,MATCH(B564,Listas!$B$5:$B$40,0)),"?"))</f>
        <v/>
      </c>
      <c r="D564" s="4"/>
      <c r="E564" s="4"/>
      <c r="F564" s="4"/>
      <c r="G564" s="28"/>
      <c r="H564" s="29" t="str">
        <f aca="false">IF(A564="","",DATE(YEAR(A564),MONTH(A564),1))</f>
        <v/>
      </c>
    </row>
    <row r="565" customFormat="false" ht="15" hidden="false" customHeight="false" outlineLevel="0" collapsed="false">
      <c r="A565" s="26"/>
      <c r="B565" s="4"/>
      <c r="C565" s="27" t="str">
        <f aca="false">IF(B565="","",IFERROR(INDEX(Listas!$C$5:$C$40,MATCH(B565,Listas!$B$5:$B$40,0)),"?"))</f>
        <v/>
      </c>
      <c r="D565" s="4"/>
      <c r="E565" s="4"/>
      <c r="F565" s="4"/>
      <c r="G565" s="28"/>
      <c r="H565" s="29" t="str">
        <f aca="false">IF(A565="","",DATE(YEAR(A565),MONTH(A565),1))</f>
        <v/>
      </c>
    </row>
    <row r="566" customFormat="false" ht="15" hidden="false" customHeight="false" outlineLevel="0" collapsed="false">
      <c r="A566" s="26"/>
      <c r="B566" s="4"/>
      <c r="C566" s="27" t="str">
        <f aca="false">IF(B566="","",IFERROR(INDEX(Listas!$C$5:$C$40,MATCH(B566,Listas!$B$5:$B$40,0)),"?"))</f>
        <v/>
      </c>
      <c r="D566" s="4"/>
      <c r="E566" s="4"/>
      <c r="F566" s="4"/>
      <c r="G566" s="28"/>
      <c r="H566" s="29" t="str">
        <f aca="false">IF(A566="","",DATE(YEAR(A566),MONTH(A566),1))</f>
        <v/>
      </c>
    </row>
    <row r="567" customFormat="false" ht="15" hidden="false" customHeight="false" outlineLevel="0" collapsed="false">
      <c r="A567" s="26"/>
      <c r="B567" s="4"/>
      <c r="C567" s="27" t="str">
        <f aca="false">IF(B567="","",IFERROR(INDEX(Listas!$C$5:$C$40,MATCH(B567,Listas!$B$5:$B$40,0)),"?"))</f>
        <v/>
      </c>
      <c r="D567" s="4"/>
      <c r="E567" s="4"/>
      <c r="F567" s="4"/>
      <c r="G567" s="28"/>
      <c r="H567" s="29" t="str">
        <f aca="false">IF(A567="","",DATE(YEAR(A567),MONTH(A567),1))</f>
        <v/>
      </c>
    </row>
    <row r="568" customFormat="false" ht="15" hidden="false" customHeight="false" outlineLevel="0" collapsed="false">
      <c r="A568" s="26"/>
      <c r="B568" s="4"/>
      <c r="C568" s="27" t="str">
        <f aca="false">IF(B568="","",IFERROR(INDEX(Listas!$C$5:$C$40,MATCH(B568,Listas!$B$5:$B$40,0)),"?"))</f>
        <v/>
      </c>
      <c r="D568" s="4"/>
      <c r="E568" s="4"/>
      <c r="F568" s="4"/>
      <c r="G568" s="28"/>
      <c r="H568" s="29" t="str">
        <f aca="false">IF(A568="","",DATE(YEAR(A568),MONTH(A568),1))</f>
        <v/>
      </c>
    </row>
    <row r="569" customFormat="false" ht="15" hidden="false" customHeight="false" outlineLevel="0" collapsed="false">
      <c r="A569" s="26"/>
      <c r="B569" s="4"/>
      <c r="C569" s="27" t="str">
        <f aca="false">IF(B569="","",IFERROR(INDEX(Listas!$C$5:$C$40,MATCH(B569,Listas!$B$5:$B$40,0)),"?"))</f>
        <v/>
      </c>
      <c r="D569" s="4"/>
      <c r="E569" s="4"/>
      <c r="F569" s="4"/>
      <c r="G569" s="28"/>
      <c r="H569" s="29" t="str">
        <f aca="false">IF(A569="","",DATE(YEAR(A569),MONTH(A569),1))</f>
        <v/>
      </c>
    </row>
    <row r="570" customFormat="false" ht="15" hidden="false" customHeight="false" outlineLevel="0" collapsed="false">
      <c r="A570" s="26"/>
      <c r="B570" s="4"/>
      <c r="C570" s="27" t="str">
        <f aca="false">IF(B570="","",IFERROR(INDEX(Listas!$C$5:$C$40,MATCH(B570,Listas!$B$5:$B$40,0)),"?"))</f>
        <v/>
      </c>
      <c r="D570" s="4"/>
      <c r="E570" s="4"/>
      <c r="F570" s="4"/>
      <c r="G570" s="28"/>
      <c r="H570" s="29" t="str">
        <f aca="false">IF(A570="","",DATE(YEAR(A570),MONTH(A570),1))</f>
        <v/>
      </c>
    </row>
    <row r="571" customFormat="false" ht="15" hidden="false" customHeight="false" outlineLevel="0" collapsed="false">
      <c r="A571" s="26"/>
      <c r="B571" s="4"/>
      <c r="C571" s="27" t="str">
        <f aca="false">IF(B571="","",IFERROR(INDEX(Listas!$C$5:$C$40,MATCH(B571,Listas!$B$5:$B$40,0)),"?"))</f>
        <v/>
      </c>
      <c r="D571" s="4"/>
      <c r="E571" s="4"/>
      <c r="F571" s="4"/>
      <c r="G571" s="28"/>
      <c r="H571" s="29" t="str">
        <f aca="false">IF(A571="","",DATE(YEAR(A571),MONTH(A571),1))</f>
        <v/>
      </c>
    </row>
    <row r="572" customFormat="false" ht="15" hidden="false" customHeight="false" outlineLevel="0" collapsed="false">
      <c r="A572" s="26"/>
      <c r="B572" s="4"/>
      <c r="C572" s="27" t="str">
        <f aca="false">IF(B572="","",IFERROR(INDEX(Listas!$C$5:$C$40,MATCH(B572,Listas!$B$5:$B$40,0)),"?"))</f>
        <v/>
      </c>
      <c r="D572" s="4"/>
      <c r="E572" s="4"/>
      <c r="F572" s="4"/>
      <c r="G572" s="28"/>
      <c r="H572" s="29" t="str">
        <f aca="false">IF(A572="","",DATE(YEAR(A572),MONTH(A572),1))</f>
        <v/>
      </c>
    </row>
    <row r="573" customFormat="false" ht="15" hidden="false" customHeight="false" outlineLevel="0" collapsed="false">
      <c r="A573" s="26"/>
      <c r="B573" s="4"/>
      <c r="C573" s="27" t="str">
        <f aca="false">IF(B573="","",IFERROR(INDEX(Listas!$C$5:$C$40,MATCH(B573,Listas!$B$5:$B$40,0)),"?"))</f>
        <v/>
      </c>
      <c r="D573" s="4"/>
      <c r="E573" s="4"/>
      <c r="F573" s="4"/>
      <c r="G573" s="28"/>
      <c r="H573" s="29" t="str">
        <f aca="false">IF(A573="","",DATE(YEAR(A573),MONTH(A573),1))</f>
        <v/>
      </c>
    </row>
    <row r="574" customFormat="false" ht="15" hidden="false" customHeight="false" outlineLevel="0" collapsed="false">
      <c r="A574" s="26"/>
      <c r="B574" s="4"/>
      <c r="C574" s="27" t="str">
        <f aca="false">IF(B574="","",IFERROR(INDEX(Listas!$C$5:$C$40,MATCH(B574,Listas!$B$5:$B$40,0)),"?"))</f>
        <v/>
      </c>
      <c r="D574" s="4"/>
      <c r="E574" s="4"/>
      <c r="F574" s="4"/>
      <c r="G574" s="28"/>
      <c r="H574" s="29" t="str">
        <f aca="false">IF(A574="","",DATE(YEAR(A574),MONTH(A574),1))</f>
        <v/>
      </c>
    </row>
    <row r="575" customFormat="false" ht="15" hidden="false" customHeight="false" outlineLevel="0" collapsed="false">
      <c r="A575" s="26"/>
      <c r="B575" s="4"/>
      <c r="C575" s="27" t="str">
        <f aca="false">IF(B575="","",IFERROR(INDEX(Listas!$C$5:$C$40,MATCH(B575,Listas!$B$5:$B$40,0)),"?"))</f>
        <v/>
      </c>
      <c r="D575" s="4"/>
      <c r="E575" s="4"/>
      <c r="F575" s="4"/>
      <c r="G575" s="28"/>
      <c r="H575" s="29" t="str">
        <f aca="false">IF(A575="","",DATE(YEAR(A575),MONTH(A575),1))</f>
        <v/>
      </c>
    </row>
    <row r="576" customFormat="false" ht="15" hidden="false" customHeight="false" outlineLevel="0" collapsed="false">
      <c r="A576" s="26"/>
      <c r="B576" s="4"/>
      <c r="C576" s="27" t="str">
        <f aca="false">IF(B576="","",IFERROR(INDEX(Listas!$C$5:$C$40,MATCH(B576,Listas!$B$5:$B$40,0)),"?"))</f>
        <v/>
      </c>
      <c r="D576" s="4"/>
      <c r="E576" s="4"/>
      <c r="F576" s="4"/>
      <c r="G576" s="28"/>
      <c r="H576" s="29" t="str">
        <f aca="false">IF(A576="","",DATE(YEAR(A576),MONTH(A576),1))</f>
        <v/>
      </c>
    </row>
    <row r="577" customFormat="false" ht="15" hidden="false" customHeight="false" outlineLevel="0" collapsed="false">
      <c r="A577" s="26"/>
      <c r="B577" s="4"/>
      <c r="C577" s="27" t="str">
        <f aca="false">IF(B577="","",IFERROR(INDEX(Listas!$C$5:$C$40,MATCH(B577,Listas!$B$5:$B$40,0)),"?"))</f>
        <v/>
      </c>
      <c r="D577" s="4"/>
      <c r="E577" s="4"/>
      <c r="F577" s="4"/>
      <c r="G577" s="28"/>
      <c r="H577" s="29" t="str">
        <f aca="false">IF(A577="","",DATE(YEAR(A577),MONTH(A577),1))</f>
        <v/>
      </c>
    </row>
    <row r="578" customFormat="false" ht="15" hidden="false" customHeight="false" outlineLevel="0" collapsed="false">
      <c r="A578" s="26"/>
      <c r="B578" s="4"/>
      <c r="C578" s="27" t="str">
        <f aca="false">IF(B578="","",IFERROR(INDEX(Listas!$C$5:$C$40,MATCH(B578,Listas!$B$5:$B$40,0)),"?"))</f>
        <v/>
      </c>
      <c r="D578" s="4"/>
      <c r="E578" s="4"/>
      <c r="F578" s="4"/>
      <c r="G578" s="28"/>
      <c r="H578" s="29" t="str">
        <f aca="false">IF(A578="","",DATE(YEAR(A578),MONTH(A578),1))</f>
        <v/>
      </c>
    </row>
    <row r="579" customFormat="false" ht="15" hidden="false" customHeight="false" outlineLevel="0" collapsed="false">
      <c r="A579" s="26"/>
      <c r="B579" s="4"/>
      <c r="C579" s="27" t="str">
        <f aca="false">IF(B579="","",IFERROR(INDEX(Listas!$C$5:$C$40,MATCH(B579,Listas!$B$5:$B$40,0)),"?"))</f>
        <v/>
      </c>
      <c r="D579" s="4"/>
      <c r="E579" s="4"/>
      <c r="F579" s="4"/>
      <c r="G579" s="28"/>
      <c r="H579" s="29" t="str">
        <f aca="false">IF(A579="","",DATE(YEAR(A579),MONTH(A579),1))</f>
        <v/>
      </c>
    </row>
    <row r="580" customFormat="false" ht="15" hidden="false" customHeight="false" outlineLevel="0" collapsed="false">
      <c r="A580" s="26"/>
      <c r="B580" s="4"/>
      <c r="C580" s="27" t="str">
        <f aca="false">IF(B580="","",IFERROR(INDEX(Listas!$C$5:$C$40,MATCH(B580,Listas!$B$5:$B$40,0)),"?"))</f>
        <v/>
      </c>
      <c r="D580" s="4"/>
      <c r="E580" s="4"/>
      <c r="F580" s="4"/>
      <c r="G580" s="28"/>
      <c r="H580" s="29" t="str">
        <f aca="false">IF(A580="","",DATE(YEAR(A580),MONTH(A580),1))</f>
        <v/>
      </c>
    </row>
    <row r="581" customFormat="false" ht="15" hidden="false" customHeight="false" outlineLevel="0" collapsed="false">
      <c r="A581" s="26"/>
      <c r="B581" s="4"/>
      <c r="C581" s="27" t="str">
        <f aca="false">IF(B581="","",IFERROR(INDEX(Listas!$C$5:$C$40,MATCH(B581,Listas!$B$5:$B$40,0)),"?"))</f>
        <v/>
      </c>
      <c r="D581" s="4"/>
      <c r="E581" s="4"/>
      <c r="F581" s="4"/>
      <c r="G581" s="28"/>
      <c r="H581" s="29" t="str">
        <f aca="false">IF(A581="","",DATE(YEAR(A581),MONTH(A581),1))</f>
        <v/>
      </c>
    </row>
    <row r="582" customFormat="false" ht="15" hidden="false" customHeight="false" outlineLevel="0" collapsed="false">
      <c r="A582" s="26"/>
      <c r="B582" s="4"/>
      <c r="C582" s="27" t="str">
        <f aca="false">IF(B582="","",IFERROR(INDEX(Listas!$C$5:$C$40,MATCH(B582,Listas!$B$5:$B$40,0)),"?"))</f>
        <v/>
      </c>
      <c r="D582" s="4"/>
      <c r="E582" s="4"/>
      <c r="F582" s="4"/>
      <c r="G582" s="28"/>
      <c r="H582" s="29" t="str">
        <f aca="false">IF(A582="","",DATE(YEAR(A582),MONTH(A582),1))</f>
        <v/>
      </c>
    </row>
    <row r="583" customFormat="false" ht="15" hidden="false" customHeight="false" outlineLevel="0" collapsed="false">
      <c r="A583" s="26"/>
      <c r="B583" s="4"/>
      <c r="C583" s="27" t="str">
        <f aca="false">IF(B583="","",IFERROR(INDEX(Listas!$C$5:$C$40,MATCH(B583,Listas!$B$5:$B$40,0)),"?"))</f>
        <v/>
      </c>
      <c r="D583" s="4"/>
      <c r="E583" s="4"/>
      <c r="F583" s="4"/>
      <c r="G583" s="28"/>
      <c r="H583" s="29" t="str">
        <f aca="false">IF(A583="","",DATE(YEAR(A583),MONTH(A583),1))</f>
        <v/>
      </c>
    </row>
    <row r="584" customFormat="false" ht="15" hidden="false" customHeight="false" outlineLevel="0" collapsed="false">
      <c r="A584" s="26"/>
      <c r="B584" s="4"/>
      <c r="C584" s="27" t="str">
        <f aca="false">IF(B584="","",IFERROR(INDEX(Listas!$C$5:$C$40,MATCH(B584,Listas!$B$5:$B$40,0)),"?"))</f>
        <v/>
      </c>
      <c r="D584" s="4"/>
      <c r="E584" s="4"/>
      <c r="F584" s="4"/>
      <c r="G584" s="28"/>
      <c r="H584" s="29" t="str">
        <f aca="false">IF(A584="","",DATE(YEAR(A584),MONTH(A584),1))</f>
        <v/>
      </c>
    </row>
    <row r="585" customFormat="false" ht="15" hidden="false" customHeight="false" outlineLevel="0" collapsed="false">
      <c r="A585" s="26"/>
      <c r="B585" s="4"/>
      <c r="C585" s="27" t="str">
        <f aca="false">IF(B585="","",IFERROR(INDEX(Listas!$C$5:$C$40,MATCH(B585,Listas!$B$5:$B$40,0)),"?"))</f>
        <v/>
      </c>
      <c r="D585" s="4"/>
      <c r="E585" s="4"/>
      <c r="F585" s="4"/>
      <c r="G585" s="28"/>
      <c r="H585" s="29" t="str">
        <f aca="false">IF(A585="","",DATE(YEAR(A585),MONTH(A585),1))</f>
        <v/>
      </c>
    </row>
    <row r="586" customFormat="false" ht="15" hidden="false" customHeight="false" outlineLevel="0" collapsed="false">
      <c r="A586" s="26"/>
      <c r="B586" s="4"/>
      <c r="C586" s="27" t="str">
        <f aca="false">IF(B586="","",IFERROR(INDEX(Listas!$C$5:$C$40,MATCH(B586,Listas!$B$5:$B$40,0)),"?"))</f>
        <v/>
      </c>
      <c r="D586" s="4"/>
      <c r="E586" s="4"/>
      <c r="F586" s="4"/>
      <c r="G586" s="28"/>
      <c r="H586" s="29" t="str">
        <f aca="false">IF(A586="","",DATE(YEAR(A586),MONTH(A586),1))</f>
        <v/>
      </c>
    </row>
    <row r="587" customFormat="false" ht="15" hidden="false" customHeight="false" outlineLevel="0" collapsed="false">
      <c r="A587" s="26"/>
      <c r="B587" s="4"/>
      <c r="C587" s="27" t="str">
        <f aca="false">IF(B587="","",IFERROR(INDEX(Listas!$C$5:$C$40,MATCH(B587,Listas!$B$5:$B$40,0)),"?"))</f>
        <v/>
      </c>
      <c r="D587" s="4"/>
      <c r="E587" s="4"/>
      <c r="F587" s="4"/>
      <c r="G587" s="28"/>
      <c r="H587" s="29" t="str">
        <f aca="false">IF(A587="","",DATE(YEAR(A587),MONTH(A587),1))</f>
        <v/>
      </c>
    </row>
    <row r="588" customFormat="false" ht="15" hidden="false" customHeight="false" outlineLevel="0" collapsed="false">
      <c r="A588" s="26"/>
      <c r="B588" s="4"/>
      <c r="C588" s="27" t="str">
        <f aca="false">IF(B588="","",IFERROR(INDEX(Listas!$C$5:$C$40,MATCH(B588,Listas!$B$5:$B$40,0)),"?"))</f>
        <v/>
      </c>
      <c r="D588" s="4"/>
      <c r="E588" s="4"/>
      <c r="F588" s="4"/>
      <c r="G588" s="28"/>
      <c r="H588" s="29" t="str">
        <f aca="false">IF(A588="","",DATE(YEAR(A588),MONTH(A588),1))</f>
        <v/>
      </c>
    </row>
    <row r="589" customFormat="false" ht="15" hidden="false" customHeight="false" outlineLevel="0" collapsed="false">
      <c r="A589" s="26"/>
      <c r="B589" s="4"/>
      <c r="C589" s="27" t="str">
        <f aca="false">IF(B589="","",IFERROR(INDEX(Listas!$C$5:$C$40,MATCH(B589,Listas!$B$5:$B$40,0)),"?"))</f>
        <v/>
      </c>
      <c r="D589" s="4"/>
      <c r="E589" s="4"/>
      <c r="F589" s="4"/>
      <c r="G589" s="28"/>
      <c r="H589" s="29" t="str">
        <f aca="false">IF(A589="","",DATE(YEAR(A589),MONTH(A589),1))</f>
        <v/>
      </c>
    </row>
    <row r="590" customFormat="false" ht="15" hidden="false" customHeight="false" outlineLevel="0" collapsed="false">
      <c r="A590" s="26"/>
      <c r="B590" s="4"/>
      <c r="C590" s="27" t="str">
        <f aca="false">IF(B590="","",IFERROR(INDEX(Listas!$C$5:$C$40,MATCH(B590,Listas!$B$5:$B$40,0)),"?"))</f>
        <v/>
      </c>
      <c r="D590" s="4"/>
      <c r="E590" s="4"/>
      <c r="F590" s="4"/>
      <c r="G590" s="28"/>
      <c r="H590" s="29" t="str">
        <f aca="false">IF(A590="","",DATE(YEAR(A590),MONTH(A590),1))</f>
        <v/>
      </c>
    </row>
    <row r="591" customFormat="false" ht="15" hidden="false" customHeight="false" outlineLevel="0" collapsed="false">
      <c r="A591" s="26"/>
      <c r="B591" s="4"/>
      <c r="C591" s="27" t="str">
        <f aca="false">IF(B591="","",IFERROR(INDEX(Listas!$C$5:$C$40,MATCH(B591,Listas!$B$5:$B$40,0)),"?"))</f>
        <v/>
      </c>
      <c r="D591" s="4"/>
      <c r="E591" s="4"/>
      <c r="F591" s="4"/>
      <c r="G591" s="28"/>
      <c r="H591" s="29" t="str">
        <f aca="false">IF(A591="","",DATE(YEAR(A591),MONTH(A591),1))</f>
        <v/>
      </c>
    </row>
    <row r="592" customFormat="false" ht="15" hidden="false" customHeight="false" outlineLevel="0" collapsed="false">
      <c r="A592" s="26"/>
      <c r="B592" s="4"/>
      <c r="C592" s="27" t="str">
        <f aca="false">IF(B592="","",IFERROR(INDEX(Listas!$C$5:$C$40,MATCH(B592,Listas!$B$5:$B$40,0)),"?"))</f>
        <v/>
      </c>
      <c r="D592" s="4"/>
      <c r="E592" s="4"/>
      <c r="F592" s="4"/>
      <c r="G592" s="28"/>
      <c r="H592" s="29" t="str">
        <f aca="false">IF(A592="","",DATE(YEAR(A592),MONTH(A592),1))</f>
        <v/>
      </c>
    </row>
    <row r="593" customFormat="false" ht="15" hidden="false" customHeight="false" outlineLevel="0" collapsed="false">
      <c r="A593" s="26"/>
      <c r="B593" s="4"/>
      <c r="C593" s="27" t="str">
        <f aca="false">IF(B593="","",IFERROR(INDEX(Listas!$C$5:$C$40,MATCH(B593,Listas!$B$5:$B$40,0)),"?"))</f>
        <v/>
      </c>
      <c r="D593" s="4"/>
      <c r="E593" s="4"/>
      <c r="F593" s="4"/>
      <c r="G593" s="28"/>
      <c r="H593" s="29" t="str">
        <f aca="false">IF(A593="","",DATE(YEAR(A593),MONTH(A593),1))</f>
        <v/>
      </c>
    </row>
    <row r="594" customFormat="false" ht="15" hidden="false" customHeight="false" outlineLevel="0" collapsed="false">
      <c r="A594" s="26"/>
      <c r="B594" s="4"/>
      <c r="C594" s="27" t="str">
        <f aca="false">IF(B594="","",IFERROR(INDEX(Listas!$C$5:$C$40,MATCH(B594,Listas!$B$5:$B$40,0)),"?"))</f>
        <v/>
      </c>
      <c r="D594" s="4"/>
      <c r="E594" s="4"/>
      <c r="F594" s="4"/>
      <c r="G594" s="28"/>
      <c r="H594" s="29" t="str">
        <f aca="false">IF(A594="","",DATE(YEAR(A594),MONTH(A594),1))</f>
        <v/>
      </c>
    </row>
    <row r="595" customFormat="false" ht="15" hidden="false" customHeight="false" outlineLevel="0" collapsed="false">
      <c r="A595" s="26"/>
      <c r="B595" s="4"/>
      <c r="C595" s="27" t="str">
        <f aca="false">IF(B595="","",IFERROR(INDEX(Listas!$C$5:$C$40,MATCH(B595,Listas!$B$5:$B$40,0)),"?"))</f>
        <v/>
      </c>
      <c r="D595" s="4"/>
      <c r="E595" s="4"/>
      <c r="F595" s="4"/>
      <c r="G595" s="28"/>
      <c r="H595" s="29" t="str">
        <f aca="false">IF(A595="","",DATE(YEAR(A595),MONTH(A595),1))</f>
        <v/>
      </c>
    </row>
    <row r="596" customFormat="false" ht="15" hidden="false" customHeight="false" outlineLevel="0" collapsed="false">
      <c r="A596" s="26"/>
      <c r="B596" s="4"/>
      <c r="C596" s="27" t="str">
        <f aca="false">IF(B596="","",IFERROR(INDEX(Listas!$C$5:$C$40,MATCH(B596,Listas!$B$5:$B$40,0)),"?"))</f>
        <v/>
      </c>
      <c r="D596" s="4"/>
      <c r="E596" s="4"/>
      <c r="F596" s="4"/>
      <c r="G596" s="28"/>
      <c r="H596" s="29" t="str">
        <f aca="false">IF(A596="","",DATE(YEAR(A596),MONTH(A596),1))</f>
        <v/>
      </c>
    </row>
    <row r="597" customFormat="false" ht="15" hidden="false" customHeight="false" outlineLevel="0" collapsed="false">
      <c r="A597" s="26"/>
      <c r="B597" s="4"/>
      <c r="C597" s="27" t="str">
        <f aca="false">IF(B597="","",IFERROR(INDEX(Listas!$C$5:$C$40,MATCH(B597,Listas!$B$5:$B$40,0)),"?"))</f>
        <v/>
      </c>
      <c r="D597" s="4"/>
      <c r="E597" s="4"/>
      <c r="F597" s="4"/>
      <c r="G597" s="28"/>
      <c r="H597" s="29" t="str">
        <f aca="false">IF(A597="","",DATE(YEAR(A597),MONTH(A597),1))</f>
        <v/>
      </c>
    </row>
    <row r="598" customFormat="false" ht="15" hidden="false" customHeight="false" outlineLevel="0" collapsed="false">
      <c r="A598" s="26"/>
      <c r="B598" s="4"/>
      <c r="C598" s="27" t="str">
        <f aca="false">IF(B598="","",IFERROR(INDEX(Listas!$C$5:$C$40,MATCH(B598,Listas!$B$5:$B$40,0)),"?"))</f>
        <v/>
      </c>
      <c r="D598" s="4"/>
      <c r="E598" s="4"/>
      <c r="F598" s="4"/>
      <c r="G598" s="28"/>
      <c r="H598" s="29" t="str">
        <f aca="false">IF(A598="","",DATE(YEAR(A598),MONTH(A598),1))</f>
        <v/>
      </c>
    </row>
    <row r="599" customFormat="false" ht="15" hidden="false" customHeight="false" outlineLevel="0" collapsed="false">
      <c r="A599" s="26"/>
      <c r="B599" s="4"/>
      <c r="C599" s="27" t="str">
        <f aca="false">IF(B599="","",IFERROR(INDEX(Listas!$C$5:$C$40,MATCH(B599,Listas!$B$5:$B$40,0)),"?"))</f>
        <v/>
      </c>
      <c r="D599" s="4"/>
      <c r="E599" s="4"/>
      <c r="F599" s="4"/>
      <c r="G599" s="28"/>
      <c r="H599" s="29" t="str">
        <f aca="false">IF(A599="","",DATE(YEAR(A599),MONTH(A599),1))</f>
        <v/>
      </c>
    </row>
    <row r="600" customFormat="false" ht="15" hidden="false" customHeight="false" outlineLevel="0" collapsed="false">
      <c r="A600" s="26"/>
      <c r="B600" s="4"/>
      <c r="C600" s="27" t="str">
        <f aca="false">IF(B600="","",IFERROR(INDEX(Listas!$C$5:$C$40,MATCH(B600,Listas!$B$5:$B$40,0)),"?"))</f>
        <v/>
      </c>
      <c r="D600" s="4"/>
      <c r="E600" s="4"/>
      <c r="F600" s="4"/>
      <c r="G600" s="28"/>
      <c r="H600" s="29" t="str">
        <f aca="false">IF(A600="","",DATE(YEAR(A600),MONTH(A600),1))</f>
        <v/>
      </c>
    </row>
    <row r="601" customFormat="false" ht="15" hidden="false" customHeight="false" outlineLevel="0" collapsed="false">
      <c r="A601" s="26"/>
      <c r="B601" s="4"/>
      <c r="C601" s="27" t="str">
        <f aca="false">IF(B601="","",IFERROR(INDEX(Listas!$C$5:$C$40,MATCH(B601,Listas!$B$5:$B$40,0)),"?"))</f>
        <v/>
      </c>
      <c r="D601" s="4"/>
      <c r="E601" s="4"/>
      <c r="F601" s="4"/>
      <c r="G601" s="28"/>
      <c r="H601" s="29" t="str">
        <f aca="false">IF(A601="","",DATE(YEAR(A601),MONTH(A601),1))</f>
        <v/>
      </c>
    </row>
    <row r="602" customFormat="false" ht="15" hidden="false" customHeight="false" outlineLevel="0" collapsed="false">
      <c r="A602" s="26"/>
      <c r="B602" s="4"/>
      <c r="C602" s="27" t="str">
        <f aca="false">IF(B602="","",IFERROR(INDEX(Listas!$C$5:$C$40,MATCH(B602,Listas!$B$5:$B$40,0)),"?"))</f>
        <v/>
      </c>
      <c r="D602" s="4"/>
      <c r="E602" s="4"/>
      <c r="F602" s="4"/>
      <c r="G602" s="28"/>
      <c r="H602" s="29" t="str">
        <f aca="false">IF(A602="","",DATE(YEAR(A602),MONTH(A602),1))</f>
        <v/>
      </c>
    </row>
    <row r="603" customFormat="false" ht="15" hidden="false" customHeight="false" outlineLevel="0" collapsed="false">
      <c r="A603" s="26"/>
      <c r="B603" s="4"/>
      <c r="C603" s="27" t="str">
        <f aca="false">IF(B603="","",IFERROR(INDEX(Listas!$C$5:$C$40,MATCH(B603,Listas!$B$5:$B$40,0)),"?"))</f>
        <v/>
      </c>
      <c r="D603" s="4"/>
      <c r="E603" s="4"/>
      <c r="F603" s="4"/>
      <c r="G603" s="28"/>
      <c r="H603" s="29" t="str">
        <f aca="false">IF(A603="","",DATE(YEAR(A603),MONTH(A603),1))</f>
        <v/>
      </c>
    </row>
    <row r="604" customFormat="false" ht="15" hidden="false" customHeight="false" outlineLevel="0" collapsed="false">
      <c r="A604" s="26"/>
      <c r="B604" s="4"/>
      <c r="C604" s="27" t="str">
        <f aca="false">IF(B604="","",IFERROR(INDEX(Listas!$C$5:$C$40,MATCH(B604,Listas!$B$5:$B$40,0)),"?"))</f>
        <v/>
      </c>
      <c r="D604" s="4"/>
      <c r="E604" s="4"/>
      <c r="F604" s="4"/>
      <c r="G604" s="28"/>
      <c r="H604" s="29" t="str">
        <f aca="false">IF(A604="","",DATE(YEAR(A604),MONTH(A604),1))</f>
        <v/>
      </c>
    </row>
    <row r="605" customFormat="false" ht="15" hidden="false" customHeight="false" outlineLevel="0" collapsed="false">
      <c r="A605" s="26"/>
      <c r="B605" s="4"/>
      <c r="C605" s="27" t="str">
        <f aca="false">IF(B605="","",IFERROR(INDEX(Listas!$C$5:$C$40,MATCH(B605,Listas!$B$5:$B$40,0)),"?"))</f>
        <v/>
      </c>
      <c r="D605" s="4"/>
      <c r="E605" s="4"/>
      <c r="F605" s="4"/>
      <c r="G605" s="28"/>
      <c r="H605" s="29" t="str">
        <f aca="false">IF(A605="","",DATE(YEAR(A605),MONTH(A605),1))</f>
        <v/>
      </c>
    </row>
    <row r="606" customFormat="false" ht="15" hidden="false" customHeight="false" outlineLevel="0" collapsed="false">
      <c r="A606" s="26"/>
      <c r="B606" s="4"/>
      <c r="C606" s="27" t="str">
        <f aca="false">IF(B606="","",IFERROR(INDEX(Listas!$C$5:$C$40,MATCH(B606,Listas!$B$5:$B$40,0)),"?"))</f>
        <v/>
      </c>
      <c r="D606" s="4"/>
      <c r="E606" s="4"/>
      <c r="F606" s="4"/>
      <c r="G606" s="28"/>
      <c r="H606" s="29" t="str">
        <f aca="false">IF(A606="","",DATE(YEAR(A606),MONTH(A606),1))</f>
        <v/>
      </c>
    </row>
    <row r="607" customFormat="false" ht="15" hidden="false" customHeight="false" outlineLevel="0" collapsed="false">
      <c r="A607" s="26"/>
      <c r="B607" s="4"/>
      <c r="C607" s="27" t="str">
        <f aca="false">IF(B607="","",IFERROR(INDEX(Listas!$C$5:$C$40,MATCH(B607,Listas!$B$5:$B$40,0)),"?"))</f>
        <v/>
      </c>
      <c r="D607" s="4"/>
      <c r="E607" s="4"/>
      <c r="F607" s="4"/>
      <c r="G607" s="28"/>
      <c r="H607" s="29" t="str">
        <f aca="false">IF(A607="","",DATE(YEAR(A607),MONTH(A607),1))</f>
        <v/>
      </c>
    </row>
    <row r="608" customFormat="false" ht="15" hidden="false" customHeight="false" outlineLevel="0" collapsed="false">
      <c r="A608" s="26"/>
      <c r="B608" s="4"/>
      <c r="C608" s="27" t="str">
        <f aca="false">IF(B608="","",IFERROR(INDEX(Listas!$C$5:$C$40,MATCH(B608,Listas!$B$5:$B$40,0)),"?"))</f>
        <v/>
      </c>
      <c r="D608" s="4"/>
      <c r="E608" s="4"/>
      <c r="F608" s="4"/>
      <c r="G608" s="28"/>
      <c r="H608" s="29" t="str">
        <f aca="false">IF(A608="","",DATE(YEAR(A608),MONTH(A608),1))</f>
        <v/>
      </c>
    </row>
    <row r="609" customFormat="false" ht="15" hidden="false" customHeight="false" outlineLevel="0" collapsed="false">
      <c r="A609" s="26"/>
      <c r="B609" s="4"/>
      <c r="C609" s="27" t="str">
        <f aca="false">IF(B609="","",IFERROR(INDEX(Listas!$C$5:$C$40,MATCH(B609,Listas!$B$5:$B$40,0)),"?"))</f>
        <v/>
      </c>
      <c r="D609" s="4"/>
      <c r="E609" s="4"/>
      <c r="F609" s="4"/>
      <c r="G609" s="28"/>
      <c r="H609" s="29" t="str">
        <f aca="false">IF(A609="","",DATE(YEAR(A609),MONTH(A609),1))</f>
        <v/>
      </c>
    </row>
    <row r="610" customFormat="false" ht="15" hidden="false" customHeight="false" outlineLevel="0" collapsed="false">
      <c r="A610" s="26"/>
      <c r="B610" s="4"/>
      <c r="C610" s="27" t="str">
        <f aca="false">IF(B610="","",IFERROR(INDEX(Listas!$C$5:$C$40,MATCH(B610,Listas!$B$5:$B$40,0)),"?"))</f>
        <v/>
      </c>
      <c r="D610" s="4"/>
      <c r="E610" s="4"/>
      <c r="F610" s="4"/>
      <c r="G610" s="28"/>
      <c r="H610" s="29" t="str">
        <f aca="false">IF(A610="","",DATE(YEAR(A610),MONTH(A610),1))</f>
        <v/>
      </c>
    </row>
    <row r="611" customFormat="false" ht="15" hidden="false" customHeight="false" outlineLevel="0" collapsed="false">
      <c r="A611" s="26"/>
      <c r="B611" s="4"/>
      <c r="C611" s="27" t="str">
        <f aca="false">IF(B611="","",IFERROR(INDEX(Listas!$C$5:$C$40,MATCH(B611,Listas!$B$5:$B$40,0)),"?"))</f>
        <v/>
      </c>
      <c r="D611" s="4"/>
      <c r="E611" s="4"/>
      <c r="F611" s="4"/>
      <c r="G611" s="28"/>
      <c r="H611" s="29" t="str">
        <f aca="false">IF(A611="","",DATE(YEAR(A611),MONTH(A611),1))</f>
        <v/>
      </c>
    </row>
    <row r="612" customFormat="false" ht="15" hidden="false" customHeight="false" outlineLevel="0" collapsed="false">
      <c r="A612" s="26"/>
      <c r="B612" s="4"/>
      <c r="C612" s="27" t="str">
        <f aca="false">IF(B612="","",IFERROR(INDEX(Listas!$C$5:$C$40,MATCH(B612,Listas!$B$5:$B$40,0)),"?"))</f>
        <v/>
      </c>
      <c r="D612" s="4"/>
      <c r="E612" s="4"/>
      <c r="F612" s="4"/>
      <c r="G612" s="28"/>
      <c r="H612" s="29" t="str">
        <f aca="false">IF(A612="","",DATE(YEAR(A612),MONTH(A612),1))</f>
        <v/>
      </c>
    </row>
    <row r="613" customFormat="false" ht="15" hidden="false" customHeight="false" outlineLevel="0" collapsed="false">
      <c r="A613" s="26"/>
      <c r="B613" s="4"/>
      <c r="C613" s="27" t="str">
        <f aca="false">IF(B613="","",IFERROR(INDEX(Listas!$C$5:$C$40,MATCH(B613,Listas!$B$5:$B$40,0)),"?"))</f>
        <v/>
      </c>
      <c r="D613" s="4"/>
      <c r="E613" s="4"/>
      <c r="F613" s="4"/>
      <c r="G613" s="28"/>
      <c r="H613" s="29" t="str">
        <f aca="false">IF(A613="","",DATE(YEAR(A613),MONTH(A613),1))</f>
        <v/>
      </c>
    </row>
    <row r="614" customFormat="false" ht="15" hidden="false" customHeight="false" outlineLevel="0" collapsed="false">
      <c r="A614" s="26"/>
      <c r="B614" s="4"/>
      <c r="C614" s="27" t="str">
        <f aca="false">IF(B614="","",IFERROR(INDEX(Listas!$C$5:$C$40,MATCH(B614,Listas!$B$5:$B$40,0)),"?"))</f>
        <v/>
      </c>
      <c r="D614" s="4"/>
      <c r="E614" s="4"/>
      <c r="F614" s="4"/>
      <c r="G614" s="28"/>
      <c r="H614" s="29" t="str">
        <f aca="false">IF(A614="","",DATE(YEAR(A614),MONTH(A614),1))</f>
        <v/>
      </c>
    </row>
    <row r="615" customFormat="false" ht="15" hidden="false" customHeight="false" outlineLevel="0" collapsed="false">
      <c r="A615" s="26"/>
      <c r="B615" s="4"/>
      <c r="C615" s="27" t="str">
        <f aca="false">IF(B615="","",IFERROR(INDEX(Listas!$C$5:$C$40,MATCH(B615,Listas!$B$5:$B$40,0)),"?"))</f>
        <v/>
      </c>
      <c r="D615" s="4"/>
      <c r="E615" s="4"/>
      <c r="F615" s="4"/>
      <c r="G615" s="28"/>
      <c r="H615" s="29" t="str">
        <f aca="false">IF(A615="","",DATE(YEAR(A615),MONTH(A615),1))</f>
        <v/>
      </c>
    </row>
    <row r="616" customFormat="false" ht="15" hidden="false" customHeight="false" outlineLevel="0" collapsed="false">
      <c r="A616" s="26"/>
      <c r="B616" s="4"/>
      <c r="C616" s="27" t="str">
        <f aca="false">IF(B616="","",IFERROR(INDEX(Listas!$C$5:$C$40,MATCH(B616,Listas!$B$5:$B$40,0)),"?"))</f>
        <v/>
      </c>
      <c r="D616" s="4"/>
      <c r="E616" s="4"/>
      <c r="F616" s="4"/>
      <c r="G616" s="28"/>
      <c r="H616" s="29" t="str">
        <f aca="false">IF(A616="","",DATE(YEAR(A616),MONTH(A616),1))</f>
        <v/>
      </c>
    </row>
    <row r="617" customFormat="false" ht="15" hidden="false" customHeight="false" outlineLevel="0" collapsed="false">
      <c r="A617" s="26"/>
      <c r="B617" s="4"/>
      <c r="C617" s="27" t="str">
        <f aca="false">IF(B617="","",IFERROR(INDEX(Listas!$C$5:$C$40,MATCH(B617,Listas!$B$5:$B$40,0)),"?"))</f>
        <v/>
      </c>
      <c r="D617" s="4"/>
      <c r="E617" s="4"/>
      <c r="F617" s="4"/>
      <c r="G617" s="28"/>
      <c r="H617" s="29" t="str">
        <f aca="false">IF(A617="","",DATE(YEAR(A617),MONTH(A617),1))</f>
        <v/>
      </c>
    </row>
    <row r="618" customFormat="false" ht="15" hidden="false" customHeight="false" outlineLevel="0" collapsed="false">
      <c r="A618" s="26"/>
      <c r="B618" s="4"/>
      <c r="C618" s="27" t="str">
        <f aca="false">IF(B618="","",IFERROR(INDEX(Listas!$C$5:$C$40,MATCH(B618,Listas!$B$5:$B$40,0)),"?"))</f>
        <v/>
      </c>
      <c r="D618" s="4"/>
      <c r="E618" s="4"/>
      <c r="F618" s="4"/>
      <c r="G618" s="28"/>
      <c r="H618" s="29" t="str">
        <f aca="false">IF(A618="","",DATE(YEAR(A618),MONTH(A618),1))</f>
        <v/>
      </c>
    </row>
    <row r="619" customFormat="false" ht="15" hidden="false" customHeight="false" outlineLevel="0" collapsed="false">
      <c r="A619" s="26"/>
      <c r="B619" s="4"/>
      <c r="C619" s="27" t="str">
        <f aca="false">IF(B619="","",IFERROR(INDEX(Listas!$C$5:$C$40,MATCH(B619,Listas!$B$5:$B$40,0)),"?"))</f>
        <v/>
      </c>
      <c r="D619" s="4"/>
      <c r="E619" s="4"/>
      <c r="F619" s="4"/>
      <c r="G619" s="28"/>
      <c r="H619" s="29" t="str">
        <f aca="false">IF(A619="","",DATE(YEAR(A619),MONTH(A619),1))</f>
        <v/>
      </c>
    </row>
    <row r="620" customFormat="false" ht="15" hidden="false" customHeight="false" outlineLevel="0" collapsed="false">
      <c r="A620" s="26"/>
      <c r="B620" s="4"/>
      <c r="C620" s="27" t="str">
        <f aca="false">IF(B620="","",IFERROR(INDEX(Listas!$C$5:$C$40,MATCH(B620,Listas!$B$5:$B$40,0)),"?"))</f>
        <v/>
      </c>
      <c r="D620" s="4"/>
      <c r="E620" s="4"/>
      <c r="F620" s="4"/>
      <c r="G620" s="28"/>
      <c r="H620" s="29" t="str">
        <f aca="false">IF(A620="","",DATE(YEAR(A620),MONTH(A620),1))</f>
        <v/>
      </c>
    </row>
    <row r="621" customFormat="false" ht="15" hidden="false" customHeight="false" outlineLevel="0" collapsed="false">
      <c r="A621" s="26"/>
      <c r="B621" s="4"/>
      <c r="C621" s="27" t="str">
        <f aca="false">IF(B621="","",IFERROR(INDEX(Listas!$C$5:$C$40,MATCH(B621,Listas!$B$5:$B$40,0)),"?"))</f>
        <v/>
      </c>
      <c r="D621" s="4"/>
      <c r="E621" s="4"/>
      <c r="F621" s="4"/>
      <c r="G621" s="28"/>
      <c r="H621" s="29" t="str">
        <f aca="false">IF(A621="","",DATE(YEAR(A621),MONTH(A621),1))</f>
        <v/>
      </c>
    </row>
    <row r="622" customFormat="false" ht="15" hidden="false" customHeight="false" outlineLevel="0" collapsed="false">
      <c r="A622" s="26"/>
      <c r="B622" s="4"/>
      <c r="C622" s="27" t="str">
        <f aca="false">IF(B622="","",IFERROR(INDEX(Listas!$C$5:$C$40,MATCH(B622,Listas!$B$5:$B$40,0)),"?"))</f>
        <v/>
      </c>
      <c r="D622" s="4"/>
      <c r="E622" s="4"/>
      <c r="F622" s="4"/>
      <c r="G622" s="28"/>
      <c r="H622" s="29" t="str">
        <f aca="false">IF(A622="","",DATE(YEAR(A622),MONTH(A622),1))</f>
        <v/>
      </c>
    </row>
    <row r="623" customFormat="false" ht="15" hidden="false" customHeight="false" outlineLevel="0" collapsed="false">
      <c r="A623" s="26"/>
      <c r="B623" s="4"/>
      <c r="C623" s="27" t="str">
        <f aca="false">IF(B623="","",IFERROR(INDEX(Listas!$C$5:$C$40,MATCH(B623,Listas!$B$5:$B$40,0)),"?"))</f>
        <v/>
      </c>
      <c r="D623" s="4"/>
      <c r="E623" s="4"/>
      <c r="F623" s="4"/>
      <c r="G623" s="28"/>
      <c r="H623" s="29" t="str">
        <f aca="false">IF(A623="","",DATE(YEAR(A623),MONTH(A623),1))</f>
        <v/>
      </c>
    </row>
    <row r="624" customFormat="false" ht="15" hidden="false" customHeight="false" outlineLevel="0" collapsed="false">
      <c r="A624" s="26"/>
      <c r="B624" s="4"/>
      <c r="C624" s="27" t="str">
        <f aca="false">IF(B624="","",IFERROR(INDEX(Listas!$C$5:$C$40,MATCH(B624,Listas!$B$5:$B$40,0)),"?"))</f>
        <v/>
      </c>
      <c r="D624" s="4"/>
      <c r="E624" s="4"/>
      <c r="F624" s="4"/>
      <c r="G624" s="28"/>
      <c r="H624" s="29" t="str">
        <f aca="false">IF(A624="","",DATE(YEAR(A624),MONTH(A624),1))</f>
        <v/>
      </c>
    </row>
    <row r="625" customFormat="false" ht="15" hidden="false" customHeight="false" outlineLevel="0" collapsed="false">
      <c r="A625" s="26"/>
      <c r="B625" s="4"/>
      <c r="C625" s="27" t="str">
        <f aca="false">IF(B625="","",IFERROR(INDEX(Listas!$C$5:$C$40,MATCH(B625,Listas!$B$5:$B$40,0)),"?"))</f>
        <v/>
      </c>
      <c r="D625" s="4"/>
      <c r="E625" s="4"/>
      <c r="F625" s="4"/>
      <c r="G625" s="28"/>
      <c r="H625" s="29" t="str">
        <f aca="false">IF(A625="","",DATE(YEAR(A625),MONTH(A625),1))</f>
        <v/>
      </c>
    </row>
    <row r="626" customFormat="false" ht="15" hidden="false" customHeight="false" outlineLevel="0" collapsed="false">
      <c r="A626" s="26"/>
      <c r="B626" s="4"/>
      <c r="C626" s="27" t="str">
        <f aca="false">IF(B626="","",IFERROR(INDEX(Listas!$C$5:$C$40,MATCH(B626,Listas!$B$5:$B$40,0)),"?"))</f>
        <v/>
      </c>
      <c r="D626" s="4"/>
      <c r="E626" s="4"/>
      <c r="F626" s="4"/>
      <c r="G626" s="28"/>
      <c r="H626" s="29" t="str">
        <f aca="false">IF(A626="","",DATE(YEAR(A626),MONTH(A626),1))</f>
        <v/>
      </c>
    </row>
    <row r="627" customFormat="false" ht="15" hidden="false" customHeight="false" outlineLevel="0" collapsed="false">
      <c r="A627" s="26"/>
      <c r="B627" s="4"/>
      <c r="C627" s="27" t="str">
        <f aca="false">IF(B627="","",IFERROR(INDEX(Listas!$C$5:$C$40,MATCH(B627,Listas!$B$5:$B$40,0)),"?"))</f>
        <v/>
      </c>
      <c r="D627" s="4"/>
      <c r="E627" s="4"/>
      <c r="F627" s="4"/>
      <c r="G627" s="28"/>
      <c r="H627" s="29" t="str">
        <f aca="false">IF(A627="","",DATE(YEAR(A627),MONTH(A627),1))</f>
        <v/>
      </c>
    </row>
    <row r="628" customFormat="false" ht="15" hidden="false" customHeight="false" outlineLevel="0" collapsed="false">
      <c r="A628" s="26"/>
      <c r="B628" s="4"/>
      <c r="C628" s="27" t="str">
        <f aca="false">IF(B628="","",IFERROR(INDEX(Listas!$C$5:$C$40,MATCH(B628,Listas!$B$5:$B$40,0)),"?"))</f>
        <v/>
      </c>
      <c r="D628" s="4"/>
      <c r="E628" s="4"/>
      <c r="F628" s="4"/>
      <c r="G628" s="28"/>
      <c r="H628" s="29" t="str">
        <f aca="false">IF(A628="","",DATE(YEAR(A628),MONTH(A628),1))</f>
        <v/>
      </c>
    </row>
    <row r="629" customFormat="false" ht="15" hidden="false" customHeight="false" outlineLevel="0" collapsed="false">
      <c r="A629" s="26"/>
      <c r="B629" s="4"/>
      <c r="C629" s="27" t="str">
        <f aca="false">IF(B629="","",IFERROR(INDEX(Listas!$C$5:$C$40,MATCH(B629,Listas!$B$5:$B$40,0)),"?"))</f>
        <v/>
      </c>
      <c r="D629" s="4"/>
      <c r="E629" s="4"/>
      <c r="F629" s="4"/>
      <c r="G629" s="28"/>
      <c r="H629" s="29" t="str">
        <f aca="false">IF(A629="","",DATE(YEAR(A629),MONTH(A629),1))</f>
        <v/>
      </c>
    </row>
    <row r="630" customFormat="false" ht="15" hidden="false" customHeight="false" outlineLevel="0" collapsed="false">
      <c r="A630" s="26"/>
      <c r="B630" s="4"/>
      <c r="C630" s="27" t="str">
        <f aca="false">IF(B630="","",IFERROR(INDEX(Listas!$C$5:$C$40,MATCH(B630,Listas!$B$5:$B$40,0)),"?"))</f>
        <v/>
      </c>
      <c r="D630" s="4"/>
      <c r="E630" s="4"/>
      <c r="F630" s="4"/>
      <c r="G630" s="28"/>
      <c r="H630" s="29" t="str">
        <f aca="false">IF(A630="","",DATE(YEAR(A630),MONTH(A630),1))</f>
        <v/>
      </c>
    </row>
    <row r="631" customFormat="false" ht="15" hidden="false" customHeight="false" outlineLevel="0" collapsed="false">
      <c r="A631" s="26"/>
      <c r="B631" s="4"/>
      <c r="C631" s="27" t="str">
        <f aca="false">IF(B631="","",IFERROR(INDEX(Listas!$C$5:$C$40,MATCH(B631,Listas!$B$5:$B$40,0)),"?"))</f>
        <v/>
      </c>
      <c r="D631" s="4"/>
      <c r="E631" s="4"/>
      <c r="F631" s="4"/>
      <c r="G631" s="28"/>
      <c r="H631" s="29" t="str">
        <f aca="false">IF(A631="","",DATE(YEAR(A631),MONTH(A631),1))</f>
        <v/>
      </c>
    </row>
    <row r="632" customFormat="false" ht="15" hidden="false" customHeight="false" outlineLevel="0" collapsed="false">
      <c r="A632" s="26"/>
      <c r="B632" s="4"/>
      <c r="C632" s="27" t="str">
        <f aca="false">IF(B632="","",IFERROR(INDEX(Listas!$C$5:$C$40,MATCH(B632,Listas!$B$5:$B$40,0)),"?"))</f>
        <v/>
      </c>
      <c r="D632" s="4"/>
      <c r="E632" s="4"/>
      <c r="F632" s="4"/>
      <c r="G632" s="28"/>
      <c r="H632" s="29" t="str">
        <f aca="false">IF(A632="","",DATE(YEAR(A632),MONTH(A632),1))</f>
        <v/>
      </c>
    </row>
    <row r="633" customFormat="false" ht="15" hidden="false" customHeight="false" outlineLevel="0" collapsed="false">
      <c r="A633" s="26"/>
      <c r="B633" s="4"/>
      <c r="C633" s="27" t="str">
        <f aca="false">IF(B633="","",IFERROR(INDEX(Listas!$C$5:$C$40,MATCH(B633,Listas!$B$5:$B$40,0)),"?"))</f>
        <v/>
      </c>
      <c r="D633" s="4"/>
      <c r="E633" s="4"/>
      <c r="F633" s="4"/>
      <c r="G633" s="28"/>
      <c r="H633" s="29" t="str">
        <f aca="false">IF(A633="","",DATE(YEAR(A633),MONTH(A633),1))</f>
        <v/>
      </c>
    </row>
    <row r="634" customFormat="false" ht="15" hidden="false" customHeight="false" outlineLevel="0" collapsed="false">
      <c r="A634" s="26"/>
      <c r="B634" s="4"/>
      <c r="C634" s="27" t="str">
        <f aca="false">IF(B634="","",IFERROR(INDEX(Listas!$C$5:$C$40,MATCH(B634,Listas!$B$5:$B$40,0)),"?"))</f>
        <v/>
      </c>
      <c r="D634" s="4"/>
      <c r="E634" s="4"/>
      <c r="F634" s="4"/>
      <c r="G634" s="28"/>
      <c r="H634" s="29" t="str">
        <f aca="false">IF(A634="","",DATE(YEAR(A634),MONTH(A634),1))</f>
        <v/>
      </c>
    </row>
    <row r="635" customFormat="false" ht="15" hidden="false" customHeight="false" outlineLevel="0" collapsed="false">
      <c r="A635" s="26"/>
      <c r="B635" s="4"/>
      <c r="C635" s="27" t="str">
        <f aca="false">IF(B635="","",IFERROR(INDEX(Listas!$C$5:$C$40,MATCH(B635,Listas!$B$5:$B$40,0)),"?"))</f>
        <v/>
      </c>
      <c r="D635" s="4"/>
      <c r="E635" s="4"/>
      <c r="F635" s="4"/>
      <c r="G635" s="28"/>
      <c r="H635" s="29" t="str">
        <f aca="false">IF(A635="","",DATE(YEAR(A635),MONTH(A635),1))</f>
        <v/>
      </c>
    </row>
    <row r="636" customFormat="false" ht="15" hidden="false" customHeight="false" outlineLevel="0" collapsed="false">
      <c r="A636" s="26"/>
      <c r="B636" s="4"/>
      <c r="C636" s="27" t="str">
        <f aca="false">IF(B636="","",IFERROR(INDEX(Listas!$C$5:$C$40,MATCH(B636,Listas!$B$5:$B$40,0)),"?"))</f>
        <v/>
      </c>
      <c r="D636" s="4"/>
      <c r="E636" s="4"/>
      <c r="F636" s="4"/>
      <c r="G636" s="28"/>
      <c r="H636" s="29" t="str">
        <f aca="false">IF(A636="","",DATE(YEAR(A636),MONTH(A636),1))</f>
        <v/>
      </c>
    </row>
    <row r="637" customFormat="false" ht="15" hidden="false" customHeight="false" outlineLevel="0" collapsed="false">
      <c r="A637" s="26"/>
      <c r="B637" s="4"/>
      <c r="C637" s="27" t="str">
        <f aca="false">IF(B637="","",IFERROR(INDEX(Listas!$C$5:$C$40,MATCH(B637,Listas!$B$5:$B$40,0)),"?"))</f>
        <v/>
      </c>
      <c r="D637" s="4"/>
      <c r="E637" s="4"/>
      <c r="F637" s="4"/>
      <c r="G637" s="28"/>
      <c r="H637" s="29" t="str">
        <f aca="false">IF(A637="","",DATE(YEAR(A637),MONTH(A637),1))</f>
        <v/>
      </c>
    </row>
    <row r="638" customFormat="false" ht="15" hidden="false" customHeight="false" outlineLevel="0" collapsed="false">
      <c r="A638" s="26"/>
      <c r="B638" s="4"/>
      <c r="C638" s="27" t="str">
        <f aca="false">IF(B638="","",IFERROR(INDEX(Listas!$C$5:$C$40,MATCH(B638,Listas!$B$5:$B$40,0)),"?"))</f>
        <v/>
      </c>
      <c r="D638" s="4"/>
      <c r="E638" s="4"/>
      <c r="F638" s="4"/>
      <c r="G638" s="28"/>
      <c r="H638" s="29" t="str">
        <f aca="false">IF(A638="","",DATE(YEAR(A638),MONTH(A638),1))</f>
        <v/>
      </c>
    </row>
    <row r="639" customFormat="false" ht="15" hidden="false" customHeight="false" outlineLevel="0" collapsed="false">
      <c r="A639" s="26"/>
      <c r="B639" s="4"/>
      <c r="C639" s="27" t="str">
        <f aca="false">IF(B639="","",IFERROR(INDEX(Listas!$C$5:$C$40,MATCH(B639,Listas!$B$5:$B$40,0)),"?"))</f>
        <v/>
      </c>
      <c r="D639" s="4"/>
      <c r="E639" s="4"/>
      <c r="F639" s="4"/>
      <c r="G639" s="28"/>
      <c r="H639" s="29" t="str">
        <f aca="false">IF(A639="","",DATE(YEAR(A639),MONTH(A639),1))</f>
        <v/>
      </c>
    </row>
    <row r="640" customFormat="false" ht="15" hidden="false" customHeight="false" outlineLevel="0" collapsed="false">
      <c r="A640" s="26"/>
      <c r="B640" s="4"/>
      <c r="C640" s="27" t="str">
        <f aca="false">IF(B640="","",IFERROR(INDEX(Listas!$C$5:$C$40,MATCH(B640,Listas!$B$5:$B$40,0)),"?"))</f>
        <v/>
      </c>
      <c r="D640" s="4"/>
      <c r="E640" s="4"/>
      <c r="F640" s="4"/>
      <c r="G640" s="28"/>
      <c r="H640" s="29" t="str">
        <f aca="false">IF(A640="","",DATE(YEAR(A640),MONTH(A640),1))</f>
        <v/>
      </c>
    </row>
    <row r="641" customFormat="false" ht="15" hidden="false" customHeight="false" outlineLevel="0" collapsed="false">
      <c r="A641" s="26"/>
      <c r="B641" s="4"/>
      <c r="C641" s="27" t="str">
        <f aca="false">IF(B641="","",IFERROR(INDEX(Listas!$C$5:$C$40,MATCH(B641,Listas!$B$5:$B$40,0)),"?"))</f>
        <v/>
      </c>
      <c r="D641" s="4"/>
      <c r="E641" s="4"/>
      <c r="F641" s="4"/>
      <c r="G641" s="28"/>
      <c r="H641" s="29" t="str">
        <f aca="false">IF(A641="","",DATE(YEAR(A641),MONTH(A641),1))</f>
        <v/>
      </c>
    </row>
    <row r="642" customFormat="false" ht="15" hidden="false" customHeight="false" outlineLevel="0" collapsed="false">
      <c r="A642" s="26"/>
      <c r="B642" s="4"/>
      <c r="C642" s="27" t="str">
        <f aca="false">IF(B642="","",IFERROR(INDEX(Listas!$C$5:$C$40,MATCH(B642,Listas!$B$5:$B$40,0)),"?"))</f>
        <v/>
      </c>
      <c r="D642" s="4"/>
      <c r="E642" s="4"/>
      <c r="F642" s="4"/>
      <c r="G642" s="28"/>
      <c r="H642" s="29" t="str">
        <f aca="false">IF(A642="","",DATE(YEAR(A642),MONTH(A642),1))</f>
        <v/>
      </c>
    </row>
    <row r="643" customFormat="false" ht="15" hidden="false" customHeight="false" outlineLevel="0" collapsed="false">
      <c r="A643" s="26"/>
      <c r="B643" s="4"/>
      <c r="C643" s="27" t="str">
        <f aca="false">IF(B643="","",IFERROR(INDEX(Listas!$C$5:$C$40,MATCH(B643,Listas!$B$5:$B$40,0)),"?"))</f>
        <v/>
      </c>
      <c r="D643" s="4"/>
      <c r="E643" s="4"/>
      <c r="F643" s="4"/>
      <c r="G643" s="28"/>
      <c r="H643" s="29" t="str">
        <f aca="false">IF(A643="","",DATE(YEAR(A643),MONTH(A643),1))</f>
        <v/>
      </c>
    </row>
    <row r="644" customFormat="false" ht="15" hidden="false" customHeight="false" outlineLevel="0" collapsed="false">
      <c r="A644" s="26"/>
      <c r="B644" s="4"/>
      <c r="C644" s="27" t="str">
        <f aca="false">IF(B644="","",IFERROR(INDEX(Listas!$C$5:$C$40,MATCH(B644,Listas!$B$5:$B$40,0)),"?"))</f>
        <v/>
      </c>
      <c r="D644" s="4"/>
      <c r="E644" s="4"/>
      <c r="F644" s="4"/>
      <c r="G644" s="28"/>
      <c r="H644" s="29" t="str">
        <f aca="false">IF(A644="","",DATE(YEAR(A644),MONTH(A644),1))</f>
        <v/>
      </c>
    </row>
    <row r="645" customFormat="false" ht="15" hidden="false" customHeight="false" outlineLevel="0" collapsed="false">
      <c r="A645" s="26"/>
      <c r="B645" s="4"/>
      <c r="C645" s="27" t="str">
        <f aca="false">IF(B645="","",IFERROR(INDEX(Listas!$C$5:$C$40,MATCH(B645,Listas!$B$5:$B$40,0)),"?"))</f>
        <v/>
      </c>
      <c r="D645" s="4"/>
      <c r="E645" s="4"/>
      <c r="F645" s="4"/>
      <c r="G645" s="28"/>
      <c r="H645" s="29" t="str">
        <f aca="false">IF(A645="","",DATE(YEAR(A645),MONTH(A645),1))</f>
        <v/>
      </c>
    </row>
    <row r="646" customFormat="false" ht="15" hidden="false" customHeight="false" outlineLevel="0" collapsed="false">
      <c r="A646" s="26"/>
      <c r="B646" s="4"/>
      <c r="C646" s="27" t="str">
        <f aca="false">IF(B646="","",IFERROR(INDEX(Listas!$C$5:$C$40,MATCH(B646,Listas!$B$5:$B$40,0)),"?"))</f>
        <v/>
      </c>
      <c r="D646" s="4"/>
      <c r="E646" s="4"/>
      <c r="F646" s="4"/>
      <c r="G646" s="28"/>
      <c r="H646" s="29" t="str">
        <f aca="false">IF(A646="","",DATE(YEAR(A646),MONTH(A646),1))</f>
        <v/>
      </c>
    </row>
    <row r="647" customFormat="false" ht="15" hidden="false" customHeight="false" outlineLevel="0" collapsed="false">
      <c r="A647" s="26"/>
      <c r="B647" s="4"/>
      <c r="C647" s="27" t="str">
        <f aca="false">IF(B647="","",IFERROR(INDEX(Listas!$C$5:$C$40,MATCH(B647,Listas!$B$5:$B$40,0)),"?"))</f>
        <v/>
      </c>
      <c r="D647" s="4"/>
      <c r="E647" s="4"/>
      <c r="F647" s="4"/>
      <c r="G647" s="28"/>
      <c r="H647" s="29" t="str">
        <f aca="false">IF(A647="","",DATE(YEAR(A647),MONTH(A647),1))</f>
        <v/>
      </c>
    </row>
    <row r="648" customFormat="false" ht="15" hidden="false" customHeight="false" outlineLevel="0" collapsed="false">
      <c r="A648" s="26"/>
      <c r="B648" s="4"/>
      <c r="C648" s="27" t="str">
        <f aca="false">IF(B648="","",IFERROR(INDEX(Listas!$C$5:$C$40,MATCH(B648,Listas!$B$5:$B$40,0)),"?"))</f>
        <v/>
      </c>
      <c r="D648" s="4"/>
      <c r="E648" s="4"/>
      <c r="F648" s="4"/>
      <c r="G648" s="28"/>
      <c r="H648" s="29" t="str">
        <f aca="false">IF(A648="","",DATE(YEAR(A648),MONTH(A648),1))</f>
        <v/>
      </c>
    </row>
    <row r="649" customFormat="false" ht="15" hidden="false" customHeight="false" outlineLevel="0" collapsed="false">
      <c r="A649" s="26"/>
      <c r="B649" s="4"/>
      <c r="C649" s="27" t="str">
        <f aca="false">IF(B649="","",IFERROR(INDEX(Listas!$C$5:$C$40,MATCH(B649,Listas!$B$5:$B$40,0)),"?"))</f>
        <v/>
      </c>
      <c r="D649" s="4"/>
      <c r="E649" s="4"/>
      <c r="F649" s="4"/>
      <c r="G649" s="28"/>
      <c r="H649" s="29" t="str">
        <f aca="false">IF(A649="","",DATE(YEAR(A649),MONTH(A649),1))</f>
        <v/>
      </c>
    </row>
    <row r="650" customFormat="false" ht="15" hidden="false" customHeight="false" outlineLevel="0" collapsed="false">
      <c r="A650" s="26"/>
      <c r="B650" s="4"/>
      <c r="C650" s="27" t="str">
        <f aca="false">IF(B650="","",IFERROR(INDEX(Listas!$C$5:$C$40,MATCH(B650,Listas!$B$5:$B$40,0)),"?"))</f>
        <v/>
      </c>
      <c r="D650" s="4"/>
      <c r="E650" s="4"/>
      <c r="F650" s="4"/>
      <c r="G650" s="28"/>
      <c r="H650" s="29" t="str">
        <f aca="false">IF(A650="","",DATE(YEAR(A650),MONTH(A650),1))</f>
        <v/>
      </c>
    </row>
    <row r="651" customFormat="false" ht="15" hidden="false" customHeight="false" outlineLevel="0" collapsed="false">
      <c r="A651" s="26"/>
      <c r="B651" s="4"/>
      <c r="C651" s="27" t="str">
        <f aca="false">IF(B651="","",IFERROR(INDEX(Listas!$C$5:$C$40,MATCH(B651,Listas!$B$5:$B$40,0)),"?"))</f>
        <v/>
      </c>
      <c r="D651" s="4"/>
      <c r="E651" s="4"/>
      <c r="F651" s="4"/>
      <c r="G651" s="28"/>
      <c r="H651" s="29" t="str">
        <f aca="false">IF(A651="","",DATE(YEAR(A651),MONTH(A651),1))</f>
        <v/>
      </c>
    </row>
    <row r="652" customFormat="false" ht="15" hidden="false" customHeight="false" outlineLevel="0" collapsed="false">
      <c r="A652" s="26"/>
      <c r="B652" s="4"/>
      <c r="C652" s="27" t="str">
        <f aca="false">IF(B652="","",IFERROR(INDEX(Listas!$C$5:$C$40,MATCH(B652,Listas!$B$5:$B$40,0)),"?"))</f>
        <v/>
      </c>
      <c r="D652" s="4"/>
      <c r="E652" s="4"/>
      <c r="F652" s="4"/>
      <c r="G652" s="28"/>
      <c r="H652" s="29" t="str">
        <f aca="false">IF(A652="","",DATE(YEAR(A652),MONTH(A652),1))</f>
        <v/>
      </c>
    </row>
    <row r="653" customFormat="false" ht="15" hidden="false" customHeight="false" outlineLevel="0" collapsed="false">
      <c r="A653" s="26"/>
      <c r="B653" s="4"/>
      <c r="C653" s="27" t="str">
        <f aca="false">IF(B653="","",IFERROR(INDEX(Listas!$C$5:$C$40,MATCH(B653,Listas!$B$5:$B$40,0)),"?"))</f>
        <v/>
      </c>
      <c r="D653" s="4"/>
      <c r="E653" s="4"/>
      <c r="F653" s="4"/>
      <c r="G653" s="28"/>
      <c r="H653" s="29" t="str">
        <f aca="false">IF(A653="","",DATE(YEAR(A653),MONTH(A653),1))</f>
        <v/>
      </c>
    </row>
    <row r="654" customFormat="false" ht="15" hidden="false" customHeight="false" outlineLevel="0" collapsed="false">
      <c r="A654" s="26"/>
      <c r="B654" s="4"/>
      <c r="C654" s="27" t="str">
        <f aca="false">IF(B654="","",IFERROR(INDEX(Listas!$C$5:$C$40,MATCH(B654,Listas!$B$5:$B$40,0)),"?"))</f>
        <v/>
      </c>
      <c r="D654" s="4"/>
      <c r="E654" s="4"/>
      <c r="F654" s="4"/>
      <c r="G654" s="28"/>
      <c r="H654" s="29" t="str">
        <f aca="false">IF(A654="","",DATE(YEAR(A654),MONTH(A654),1))</f>
        <v/>
      </c>
    </row>
    <row r="655" customFormat="false" ht="15" hidden="false" customHeight="false" outlineLevel="0" collapsed="false">
      <c r="A655" s="26"/>
      <c r="B655" s="4"/>
      <c r="C655" s="27" t="str">
        <f aca="false">IF(B655="","",IFERROR(INDEX(Listas!$C$5:$C$40,MATCH(B655,Listas!$B$5:$B$40,0)),"?"))</f>
        <v/>
      </c>
      <c r="D655" s="4"/>
      <c r="E655" s="4"/>
      <c r="F655" s="4"/>
      <c r="G655" s="28"/>
      <c r="H655" s="29" t="str">
        <f aca="false">IF(A655="","",DATE(YEAR(A655),MONTH(A655),1))</f>
        <v/>
      </c>
    </row>
    <row r="656" customFormat="false" ht="15" hidden="false" customHeight="false" outlineLevel="0" collapsed="false">
      <c r="A656" s="26"/>
      <c r="B656" s="4"/>
      <c r="C656" s="27" t="str">
        <f aca="false">IF(B656="","",IFERROR(INDEX(Listas!$C$5:$C$40,MATCH(B656,Listas!$B$5:$B$40,0)),"?"))</f>
        <v/>
      </c>
      <c r="D656" s="4"/>
      <c r="E656" s="4"/>
      <c r="F656" s="4"/>
      <c r="G656" s="28"/>
      <c r="H656" s="29" t="str">
        <f aca="false">IF(A656="","",DATE(YEAR(A656),MONTH(A656),1))</f>
        <v/>
      </c>
    </row>
    <row r="657" customFormat="false" ht="15" hidden="false" customHeight="false" outlineLevel="0" collapsed="false">
      <c r="A657" s="26"/>
      <c r="B657" s="4"/>
      <c r="C657" s="27" t="str">
        <f aca="false">IF(B657="","",IFERROR(INDEX(Listas!$C$5:$C$40,MATCH(B657,Listas!$B$5:$B$40,0)),"?"))</f>
        <v/>
      </c>
      <c r="D657" s="4"/>
      <c r="E657" s="4"/>
      <c r="F657" s="4"/>
      <c r="G657" s="28"/>
      <c r="H657" s="29" t="str">
        <f aca="false">IF(A657="","",DATE(YEAR(A657),MONTH(A657),1))</f>
        <v/>
      </c>
    </row>
    <row r="658" customFormat="false" ht="15" hidden="false" customHeight="false" outlineLevel="0" collapsed="false">
      <c r="A658" s="26"/>
      <c r="B658" s="4"/>
      <c r="C658" s="27" t="str">
        <f aca="false">IF(B658="","",IFERROR(INDEX(Listas!$C$5:$C$40,MATCH(B658,Listas!$B$5:$B$40,0)),"?"))</f>
        <v/>
      </c>
      <c r="D658" s="4"/>
      <c r="E658" s="4"/>
      <c r="F658" s="4"/>
      <c r="G658" s="28"/>
      <c r="H658" s="29" t="str">
        <f aca="false">IF(A658="","",DATE(YEAR(A658),MONTH(A658),1))</f>
        <v/>
      </c>
    </row>
    <row r="659" customFormat="false" ht="15" hidden="false" customHeight="false" outlineLevel="0" collapsed="false">
      <c r="A659" s="26"/>
      <c r="B659" s="4"/>
      <c r="C659" s="27" t="str">
        <f aca="false">IF(B659="","",IFERROR(INDEX(Listas!$C$5:$C$40,MATCH(B659,Listas!$B$5:$B$40,0)),"?"))</f>
        <v/>
      </c>
      <c r="D659" s="4"/>
      <c r="E659" s="4"/>
      <c r="F659" s="4"/>
      <c r="G659" s="28"/>
      <c r="H659" s="29" t="str">
        <f aca="false">IF(A659="","",DATE(YEAR(A659),MONTH(A659),1))</f>
        <v/>
      </c>
    </row>
    <row r="660" customFormat="false" ht="15" hidden="false" customHeight="false" outlineLevel="0" collapsed="false">
      <c r="A660" s="26"/>
      <c r="B660" s="4"/>
      <c r="C660" s="27" t="str">
        <f aca="false">IF(B660="","",IFERROR(INDEX(Listas!$C$5:$C$40,MATCH(B660,Listas!$B$5:$B$40,0)),"?"))</f>
        <v/>
      </c>
      <c r="D660" s="4"/>
      <c r="E660" s="4"/>
      <c r="F660" s="4"/>
      <c r="G660" s="28"/>
      <c r="H660" s="29" t="str">
        <f aca="false">IF(A660="","",DATE(YEAR(A660),MONTH(A660),1))</f>
        <v/>
      </c>
    </row>
    <row r="661" customFormat="false" ht="15" hidden="false" customHeight="false" outlineLevel="0" collapsed="false">
      <c r="A661" s="26"/>
      <c r="B661" s="4"/>
      <c r="C661" s="27" t="str">
        <f aca="false">IF(B661="","",IFERROR(INDEX(Listas!$C$5:$C$40,MATCH(B661,Listas!$B$5:$B$40,0)),"?"))</f>
        <v/>
      </c>
      <c r="D661" s="4"/>
      <c r="E661" s="4"/>
      <c r="F661" s="4"/>
      <c r="G661" s="28"/>
      <c r="H661" s="29" t="str">
        <f aca="false">IF(A661="","",DATE(YEAR(A661),MONTH(A661),1))</f>
        <v/>
      </c>
    </row>
    <row r="662" customFormat="false" ht="15" hidden="false" customHeight="false" outlineLevel="0" collapsed="false">
      <c r="A662" s="26"/>
      <c r="B662" s="4"/>
      <c r="C662" s="27" t="str">
        <f aca="false">IF(B662="","",IFERROR(INDEX(Listas!$C$5:$C$40,MATCH(B662,Listas!$B$5:$B$40,0)),"?"))</f>
        <v/>
      </c>
      <c r="D662" s="4"/>
      <c r="E662" s="4"/>
      <c r="F662" s="4"/>
      <c r="G662" s="28"/>
      <c r="H662" s="29" t="str">
        <f aca="false">IF(A662="","",DATE(YEAR(A662),MONTH(A662),1))</f>
        <v/>
      </c>
    </row>
    <row r="663" customFormat="false" ht="15" hidden="false" customHeight="false" outlineLevel="0" collapsed="false">
      <c r="A663" s="26"/>
      <c r="B663" s="4"/>
      <c r="C663" s="27" t="str">
        <f aca="false">IF(B663="","",IFERROR(INDEX(Listas!$C$5:$C$40,MATCH(B663,Listas!$B$5:$B$40,0)),"?"))</f>
        <v/>
      </c>
      <c r="D663" s="4"/>
      <c r="E663" s="4"/>
      <c r="F663" s="4"/>
      <c r="G663" s="28"/>
      <c r="H663" s="29" t="str">
        <f aca="false">IF(A663="","",DATE(YEAR(A663),MONTH(A663),1))</f>
        <v/>
      </c>
    </row>
    <row r="664" customFormat="false" ht="15" hidden="false" customHeight="false" outlineLevel="0" collapsed="false">
      <c r="A664" s="26"/>
      <c r="B664" s="4"/>
      <c r="C664" s="27" t="str">
        <f aca="false">IF(B664="","",IFERROR(INDEX(Listas!$C$5:$C$40,MATCH(B664,Listas!$B$5:$B$40,0)),"?"))</f>
        <v/>
      </c>
      <c r="D664" s="4"/>
      <c r="E664" s="4"/>
      <c r="F664" s="4"/>
      <c r="G664" s="28"/>
      <c r="H664" s="29" t="str">
        <f aca="false">IF(A664="","",DATE(YEAR(A664),MONTH(A664),1))</f>
        <v/>
      </c>
    </row>
    <row r="665" customFormat="false" ht="15" hidden="false" customHeight="false" outlineLevel="0" collapsed="false">
      <c r="A665" s="26"/>
      <c r="B665" s="4"/>
      <c r="C665" s="27" t="str">
        <f aca="false">IF(B665="","",IFERROR(INDEX(Listas!$C$5:$C$40,MATCH(B665,Listas!$B$5:$B$40,0)),"?"))</f>
        <v/>
      </c>
      <c r="D665" s="4"/>
      <c r="E665" s="4"/>
      <c r="F665" s="4"/>
      <c r="G665" s="28"/>
      <c r="H665" s="29" t="str">
        <f aca="false">IF(A665="","",DATE(YEAR(A665),MONTH(A665),1))</f>
        <v/>
      </c>
    </row>
    <row r="666" customFormat="false" ht="15" hidden="false" customHeight="false" outlineLevel="0" collapsed="false">
      <c r="A666" s="26"/>
      <c r="B666" s="4"/>
      <c r="C666" s="27" t="str">
        <f aca="false">IF(B666="","",IFERROR(INDEX(Listas!$C$5:$C$40,MATCH(B666,Listas!$B$5:$B$40,0)),"?"))</f>
        <v/>
      </c>
      <c r="D666" s="4"/>
      <c r="E666" s="4"/>
      <c r="F666" s="4"/>
      <c r="G666" s="28"/>
      <c r="H666" s="29" t="str">
        <f aca="false">IF(A666="","",DATE(YEAR(A666),MONTH(A666),1))</f>
        <v/>
      </c>
    </row>
    <row r="667" customFormat="false" ht="15" hidden="false" customHeight="false" outlineLevel="0" collapsed="false">
      <c r="A667" s="26"/>
      <c r="B667" s="4"/>
      <c r="C667" s="27" t="str">
        <f aca="false">IF(B667="","",IFERROR(INDEX(Listas!$C$5:$C$40,MATCH(B667,Listas!$B$5:$B$40,0)),"?"))</f>
        <v/>
      </c>
      <c r="D667" s="4"/>
      <c r="E667" s="4"/>
      <c r="F667" s="4"/>
      <c r="G667" s="28"/>
      <c r="H667" s="29" t="str">
        <f aca="false">IF(A667="","",DATE(YEAR(A667),MONTH(A667),1))</f>
        <v/>
      </c>
    </row>
    <row r="668" customFormat="false" ht="15" hidden="false" customHeight="false" outlineLevel="0" collapsed="false">
      <c r="A668" s="26"/>
      <c r="B668" s="4"/>
      <c r="C668" s="27" t="str">
        <f aca="false">IF(B668="","",IFERROR(INDEX(Listas!$C$5:$C$40,MATCH(B668,Listas!$B$5:$B$40,0)),"?"))</f>
        <v/>
      </c>
      <c r="D668" s="4"/>
      <c r="E668" s="4"/>
      <c r="F668" s="4"/>
      <c r="G668" s="28"/>
      <c r="H668" s="29" t="str">
        <f aca="false">IF(A668="","",DATE(YEAR(A668),MONTH(A668),1))</f>
        <v/>
      </c>
    </row>
    <row r="669" customFormat="false" ht="15" hidden="false" customHeight="false" outlineLevel="0" collapsed="false">
      <c r="A669" s="26"/>
      <c r="B669" s="4"/>
      <c r="C669" s="27" t="str">
        <f aca="false">IF(B669="","",IFERROR(INDEX(Listas!$C$5:$C$40,MATCH(B669,Listas!$B$5:$B$40,0)),"?"))</f>
        <v/>
      </c>
      <c r="D669" s="4"/>
      <c r="E669" s="4"/>
      <c r="F669" s="4"/>
      <c r="G669" s="28"/>
      <c r="H669" s="29" t="str">
        <f aca="false">IF(A669="","",DATE(YEAR(A669),MONTH(A669),1))</f>
        <v/>
      </c>
    </row>
    <row r="670" customFormat="false" ht="15" hidden="false" customHeight="false" outlineLevel="0" collapsed="false">
      <c r="A670" s="26"/>
      <c r="B670" s="4"/>
      <c r="C670" s="27" t="str">
        <f aca="false">IF(B670="","",IFERROR(INDEX(Listas!$C$5:$C$40,MATCH(B670,Listas!$B$5:$B$40,0)),"?"))</f>
        <v/>
      </c>
      <c r="D670" s="4"/>
      <c r="E670" s="4"/>
      <c r="F670" s="4"/>
      <c r="G670" s="28"/>
      <c r="H670" s="29" t="str">
        <f aca="false">IF(A670="","",DATE(YEAR(A670),MONTH(A670),1))</f>
        <v/>
      </c>
    </row>
    <row r="671" customFormat="false" ht="15" hidden="false" customHeight="false" outlineLevel="0" collapsed="false">
      <c r="A671" s="26"/>
      <c r="B671" s="4"/>
      <c r="C671" s="27" t="str">
        <f aca="false">IF(B671="","",IFERROR(INDEX(Listas!$C$5:$C$40,MATCH(B671,Listas!$B$5:$B$40,0)),"?"))</f>
        <v/>
      </c>
      <c r="D671" s="4"/>
      <c r="E671" s="4"/>
      <c r="F671" s="4"/>
      <c r="G671" s="28"/>
      <c r="H671" s="29" t="str">
        <f aca="false">IF(A671="","",DATE(YEAR(A671),MONTH(A671),1))</f>
        <v/>
      </c>
    </row>
    <row r="672" customFormat="false" ht="15" hidden="false" customHeight="false" outlineLevel="0" collapsed="false">
      <c r="A672" s="26"/>
      <c r="B672" s="4"/>
      <c r="C672" s="27" t="str">
        <f aca="false">IF(B672="","",IFERROR(INDEX(Listas!$C$5:$C$40,MATCH(B672,Listas!$B$5:$B$40,0)),"?"))</f>
        <v/>
      </c>
      <c r="D672" s="4"/>
      <c r="E672" s="4"/>
      <c r="F672" s="4"/>
      <c r="G672" s="28"/>
      <c r="H672" s="29" t="str">
        <f aca="false">IF(A672="","",DATE(YEAR(A672),MONTH(A672),1))</f>
        <v/>
      </c>
    </row>
    <row r="673" customFormat="false" ht="15" hidden="false" customHeight="false" outlineLevel="0" collapsed="false">
      <c r="A673" s="26"/>
      <c r="B673" s="4"/>
      <c r="C673" s="27" t="str">
        <f aca="false">IF(B673="","",IFERROR(INDEX(Listas!$C$5:$C$40,MATCH(B673,Listas!$B$5:$B$40,0)),"?"))</f>
        <v/>
      </c>
      <c r="D673" s="4"/>
      <c r="E673" s="4"/>
      <c r="F673" s="4"/>
      <c r="G673" s="28"/>
      <c r="H673" s="29" t="str">
        <f aca="false">IF(A673="","",DATE(YEAR(A673),MONTH(A673),1))</f>
        <v/>
      </c>
    </row>
    <row r="674" customFormat="false" ht="15" hidden="false" customHeight="false" outlineLevel="0" collapsed="false">
      <c r="A674" s="26"/>
      <c r="B674" s="4"/>
      <c r="C674" s="27" t="str">
        <f aca="false">IF(B674="","",IFERROR(INDEX(Listas!$C$5:$C$40,MATCH(B674,Listas!$B$5:$B$40,0)),"?"))</f>
        <v/>
      </c>
      <c r="D674" s="4"/>
      <c r="E674" s="4"/>
      <c r="F674" s="4"/>
      <c r="G674" s="28"/>
      <c r="H674" s="29" t="str">
        <f aca="false">IF(A674="","",DATE(YEAR(A674),MONTH(A674),1))</f>
        <v/>
      </c>
    </row>
    <row r="675" customFormat="false" ht="15" hidden="false" customHeight="false" outlineLevel="0" collapsed="false">
      <c r="A675" s="26"/>
      <c r="B675" s="4"/>
      <c r="C675" s="27" t="str">
        <f aca="false">IF(B675="","",IFERROR(INDEX(Listas!$C$5:$C$40,MATCH(B675,Listas!$B$5:$B$40,0)),"?"))</f>
        <v/>
      </c>
      <c r="D675" s="4"/>
      <c r="E675" s="4"/>
      <c r="F675" s="4"/>
      <c r="G675" s="28"/>
      <c r="H675" s="29" t="str">
        <f aca="false">IF(A675="","",DATE(YEAR(A675),MONTH(A675),1))</f>
        <v/>
      </c>
    </row>
    <row r="676" customFormat="false" ht="15" hidden="false" customHeight="false" outlineLevel="0" collapsed="false">
      <c r="A676" s="26"/>
      <c r="B676" s="4"/>
      <c r="C676" s="27" t="str">
        <f aca="false">IF(B676="","",IFERROR(INDEX(Listas!$C$5:$C$40,MATCH(B676,Listas!$B$5:$B$40,0)),"?"))</f>
        <v/>
      </c>
      <c r="D676" s="4"/>
      <c r="E676" s="4"/>
      <c r="F676" s="4"/>
      <c r="G676" s="28"/>
      <c r="H676" s="29" t="str">
        <f aca="false">IF(A676="","",DATE(YEAR(A676),MONTH(A676),1))</f>
        <v/>
      </c>
    </row>
    <row r="677" customFormat="false" ht="15" hidden="false" customHeight="false" outlineLevel="0" collapsed="false">
      <c r="A677" s="26"/>
      <c r="B677" s="4"/>
      <c r="C677" s="27" t="str">
        <f aca="false">IF(B677="","",IFERROR(INDEX(Listas!$C$5:$C$40,MATCH(B677,Listas!$B$5:$B$40,0)),"?"))</f>
        <v/>
      </c>
      <c r="D677" s="4"/>
      <c r="E677" s="4"/>
      <c r="F677" s="4"/>
      <c r="G677" s="28"/>
      <c r="H677" s="29" t="str">
        <f aca="false">IF(A677="","",DATE(YEAR(A677),MONTH(A677),1))</f>
        <v/>
      </c>
    </row>
    <row r="678" customFormat="false" ht="15" hidden="false" customHeight="false" outlineLevel="0" collapsed="false">
      <c r="A678" s="26"/>
      <c r="B678" s="4"/>
      <c r="C678" s="27" t="str">
        <f aca="false">IF(B678="","",IFERROR(INDEX(Listas!$C$5:$C$40,MATCH(B678,Listas!$B$5:$B$40,0)),"?"))</f>
        <v/>
      </c>
      <c r="D678" s="4"/>
      <c r="E678" s="4"/>
      <c r="F678" s="4"/>
      <c r="G678" s="28"/>
      <c r="H678" s="29" t="str">
        <f aca="false">IF(A678="","",DATE(YEAR(A678),MONTH(A678),1))</f>
        <v/>
      </c>
    </row>
    <row r="679" customFormat="false" ht="15" hidden="false" customHeight="false" outlineLevel="0" collapsed="false">
      <c r="A679" s="26"/>
      <c r="B679" s="4"/>
      <c r="C679" s="27" t="str">
        <f aca="false">IF(B679="","",IFERROR(INDEX(Listas!$C$5:$C$40,MATCH(B679,Listas!$B$5:$B$40,0)),"?"))</f>
        <v/>
      </c>
      <c r="D679" s="4"/>
      <c r="E679" s="4"/>
      <c r="F679" s="4"/>
      <c r="G679" s="28"/>
      <c r="H679" s="29" t="str">
        <f aca="false">IF(A679="","",DATE(YEAR(A679),MONTH(A679),1))</f>
        <v/>
      </c>
    </row>
    <row r="680" customFormat="false" ht="15" hidden="false" customHeight="false" outlineLevel="0" collapsed="false">
      <c r="A680" s="26"/>
      <c r="B680" s="4"/>
      <c r="C680" s="27" t="str">
        <f aca="false">IF(B680="","",IFERROR(INDEX(Listas!$C$5:$C$40,MATCH(B680,Listas!$B$5:$B$40,0)),"?"))</f>
        <v/>
      </c>
      <c r="D680" s="4"/>
      <c r="E680" s="4"/>
      <c r="F680" s="4"/>
      <c r="G680" s="28"/>
      <c r="H680" s="29" t="str">
        <f aca="false">IF(A680="","",DATE(YEAR(A680),MONTH(A680),1))</f>
        <v/>
      </c>
    </row>
    <row r="681" customFormat="false" ht="15" hidden="false" customHeight="false" outlineLevel="0" collapsed="false">
      <c r="A681" s="26"/>
      <c r="B681" s="4"/>
      <c r="C681" s="27" t="str">
        <f aca="false">IF(B681="","",IFERROR(INDEX(Listas!$C$5:$C$40,MATCH(B681,Listas!$B$5:$B$40,0)),"?"))</f>
        <v/>
      </c>
      <c r="D681" s="4"/>
      <c r="E681" s="4"/>
      <c r="F681" s="4"/>
      <c r="G681" s="28"/>
      <c r="H681" s="29" t="str">
        <f aca="false">IF(A681="","",DATE(YEAR(A681),MONTH(A681),1))</f>
        <v/>
      </c>
    </row>
    <row r="682" customFormat="false" ht="15" hidden="false" customHeight="false" outlineLevel="0" collapsed="false">
      <c r="A682" s="26"/>
      <c r="B682" s="4"/>
      <c r="C682" s="27" t="str">
        <f aca="false">IF(B682="","",IFERROR(INDEX(Listas!$C$5:$C$40,MATCH(B682,Listas!$B$5:$B$40,0)),"?"))</f>
        <v/>
      </c>
      <c r="D682" s="4"/>
      <c r="E682" s="4"/>
      <c r="F682" s="4"/>
      <c r="G682" s="28"/>
      <c r="H682" s="29" t="str">
        <f aca="false">IF(A682="","",DATE(YEAR(A682),MONTH(A682),1))</f>
        <v/>
      </c>
    </row>
    <row r="683" customFormat="false" ht="15" hidden="false" customHeight="false" outlineLevel="0" collapsed="false">
      <c r="A683" s="26"/>
      <c r="B683" s="4"/>
      <c r="C683" s="27" t="str">
        <f aca="false">IF(B683="","",IFERROR(INDEX(Listas!$C$5:$C$40,MATCH(B683,Listas!$B$5:$B$40,0)),"?"))</f>
        <v/>
      </c>
      <c r="D683" s="4"/>
      <c r="E683" s="4"/>
      <c r="F683" s="4"/>
      <c r="G683" s="28"/>
      <c r="H683" s="29" t="str">
        <f aca="false">IF(A683="","",DATE(YEAR(A683),MONTH(A683),1))</f>
        <v/>
      </c>
    </row>
    <row r="684" customFormat="false" ht="15" hidden="false" customHeight="false" outlineLevel="0" collapsed="false">
      <c r="A684" s="26"/>
      <c r="B684" s="4"/>
      <c r="C684" s="27" t="str">
        <f aca="false">IF(B684="","",IFERROR(INDEX(Listas!$C$5:$C$40,MATCH(B684,Listas!$B$5:$B$40,0)),"?"))</f>
        <v/>
      </c>
      <c r="D684" s="4"/>
      <c r="E684" s="4"/>
      <c r="F684" s="4"/>
      <c r="G684" s="28"/>
      <c r="H684" s="29" t="str">
        <f aca="false">IF(A684="","",DATE(YEAR(A684),MONTH(A684),1))</f>
        <v/>
      </c>
    </row>
    <row r="685" customFormat="false" ht="15" hidden="false" customHeight="false" outlineLevel="0" collapsed="false">
      <c r="A685" s="26"/>
      <c r="B685" s="4"/>
      <c r="C685" s="27" t="str">
        <f aca="false">IF(B685="","",IFERROR(INDEX(Listas!$C$5:$C$40,MATCH(B685,Listas!$B$5:$B$40,0)),"?"))</f>
        <v/>
      </c>
      <c r="D685" s="4"/>
      <c r="E685" s="4"/>
      <c r="F685" s="4"/>
      <c r="G685" s="28"/>
      <c r="H685" s="29" t="str">
        <f aca="false">IF(A685="","",DATE(YEAR(A685),MONTH(A685),1))</f>
        <v/>
      </c>
    </row>
    <row r="686" customFormat="false" ht="15" hidden="false" customHeight="false" outlineLevel="0" collapsed="false">
      <c r="A686" s="26"/>
      <c r="B686" s="4"/>
      <c r="C686" s="27" t="str">
        <f aca="false">IF(B686="","",IFERROR(INDEX(Listas!$C$5:$C$40,MATCH(B686,Listas!$B$5:$B$40,0)),"?"))</f>
        <v/>
      </c>
      <c r="D686" s="4"/>
      <c r="E686" s="4"/>
      <c r="F686" s="4"/>
      <c r="G686" s="28"/>
      <c r="H686" s="29" t="str">
        <f aca="false">IF(A686="","",DATE(YEAR(A686),MONTH(A686),1))</f>
        <v/>
      </c>
    </row>
    <row r="687" customFormat="false" ht="15" hidden="false" customHeight="false" outlineLevel="0" collapsed="false">
      <c r="A687" s="26"/>
      <c r="B687" s="4"/>
      <c r="C687" s="27" t="str">
        <f aca="false">IF(B687="","",IFERROR(INDEX(Listas!$C$5:$C$40,MATCH(B687,Listas!$B$5:$B$40,0)),"?"))</f>
        <v/>
      </c>
      <c r="D687" s="4"/>
      <c r="E687" s="4"/>
      <c r="F687" s="4"/>
      <c r="G687" s="28"/>
      <c r="H687" s="29" t="str">
        <f aca="false">IF(A687="","",DATE(YEAR(A687),MONTH(A687),1))</f>
        <v/>
      </c>
    </row>
    <row r="688" customFormat="false" ht="15" hidden="false" customHeight="false" outlineLevel="0" collapsed="false">
      <c r="A688" s="26"/>
      <c r="B688" s="4"/>
      <c r="C688" s="27" t="str">
        <f aca="false">IF(B688="","",IFERROR(INDEX(Listas!$C$5:$C$40,MATCH(B688,Listas!$B$5:$B$40,0)),"?"))</f>
        <v/>
      </c>
      <c r="D688" s="4"/>
      <c r="E688" s="4"/>
      <c r="F688" s="4"/>
      <c r="G688" s="28"/>
      <c r="H688" s="29" t="str">
        <f aca="false">IF(A688="","",DATE(YEAR(A688),MONTH(A688),1))</f>
        <v/>
      </c>
    </row>
    <row r="689" customFormat="false" ht="15" hidden="false" customHeight="false" outlineLevel="0" collapsed="false">
      <c r="A689" s="26"/>
      <c r="B689" s="4"/>
      <c r="C689" s="27" t="str">
        <f aca="false">IF(B689="","",IFERROR(INDEX(Listas!$C$5:$C$40,MATCH(B689,Listas!$B$5:$B$40,0)),"?"))</f>
        <v/>
      </c>
      <c r="D689" s="4"/>
      <c r="E689" s="4"/>
      <c r="F689" s="4"/>
      <c r="G689" s="28"/>
      <c r="H689" s="29" t="str">
        <f aca="false">IF(A689="","",DATE(YEAR(A689),MONTH(A689),1))</f>
        <v/>
      </c>
    </row>
    <row r="690" customFormat="false" ht="15" hidden="false" customHeight="false" outlineLevel="0" collapsed="false">
      <c r="A690" s="26"/>
      <c r="B690" s="4"/>
      <c r="C690" s="27" t="str">
        <f aca="false">IF(B690="","",IFERROR(INDEX(Listas!$C$5:$C$40,MATCH(B690,Listas!$B$5:$B$40,0)),"?"))</f>
        <v/>
      </c>
      <c r="D690" s="4"/>
      <c r="E690" s="4"/>
      <c r="F690" s="4"/>
      <c r="G690" s="28"/>
      <c r="H690" s="29" t="str">
        <f aca="false">IF(A690="","",DATE(YEAR(A690),MONTH(A690),1))</f>
        <v/>
      </c>
    </row>
    <row r="691" customFormat="false" ht="15" hidden="false" customHeight="false" outlineLevel="0" collapsed="false">
      <c r="A691" s="26"/>
      <c r="B691" s="4"/>
      <c r="C691" s="27" t="str">
        <f aca="false">IF(B691="","",IFERROR(INDEX(Listas!$C$5:$C$40,MATCH(B691,Listas!$B$5:$B$40,0)),"?"))</f>
        <v/>
      </c>
      <c r="D691" s="4"/>
      <c r="E691" s="4"/>
      <c r="F691" s="4"/>
      <c r="G691" s="28"/>
      <c r="H691" s="29" t="str">
        <f aca="false">IF(A691="","",DATE(YEAR(A691),MONTH(A691),1))</f>
        <v/>
      </c>
    </row>
    <row r="692" customFormat="false" ht="15" hidden="false" customHeight="false" outlineLevel="0" collapsed="false">
      <c r="A692" s="26"/>
      <c r="B692" s="4"/>
      <c r="C692" s="27" t="str">
        <f aca="false">IF(B692="","",IFERROR(INDEX(Listas!$C$5:$C$40,MATCH(B692,Listas!$B$5:$B$40,0)),"?"))</f>
        <v/>
      </c>
      <c r="D692" s="4"/>
      <c r="E692" s="4"/>
      <c r="F692" s="4"/>
      <c r="G692" s="28"/>
      <c r="H692" s="29" t="str">
        <f aca="false">IF(A692="","",DATE(YEAR(A692),MONTH(A692),1))</f>
        <v/>
      </c>
    </row>
    <row r="693" customFormat="false" ht="15" hidden="false" customHeight="false" outlineLevel="0" collapsed="false">
      <c r="A693" s="26"/>
      <c r="B693" s="4"/>
      <c r="C693" s="27" t="str">
        <f aca="false">IF(B693="","",IFERROR(INDEX(Listas!$C$5:$C$40,MATCH(B693,Listas!$B$5:$B$40,0)),"?"))</f>
        <v/>
      </c>
      <c r="D693" s="4"/>
      <c r="E693" s="4"/>
      <c r="F693" s="4"/>
      <c r="G693" s="28"/>
      <c r="H693" s="29" t="str">
        <f aca="false">IF(A693="","",DATE(YEAR(A693),MONTH(A693),1))</f>
        <v/>
      </c>
    </row>
    <row r="694" customFormat="false" ht="15" hidden="false" customHeight="false" outlineLevel="0" collapsed="false">
      <c r="A694" s="26"/>
      <c r="B694" s="4"/>
      <c r="C694" s="27" t="str">
        <f aca="false">IF(B694="","",IFERROR(INDEX(Listas!$C$5:$C$40,MATCH(B694,Listas!$B$5:$B$40,0)),"?"))</f>
        <v/>
      </c>
      <c r="D694" s="4"/>
      <c r="E694" s="4"/>
      <c r="F694" s="4"/>
      <c r="G694" s="28"/>
      <c r="H694" s="29" t="str">
        <f aca="false">IF(A694="","",DATE(YEAR(A694),MONTH(A694),1))</f>
        <v/>
      </c>
    </row>
    <row r="695" customFormat="false" ht="15" hidden="false" customHeight="false" outlineLevel="0" collapsed="false">
      <c r="A695" s="26"/>
      <c r="B695" s="4"/>
      <c r="C695" s="27" t="str">
        <f aca="false">IF(B695="","",IFERROR(INDEX(Listas!$C$5:$C$40,MATCH(B695,Listas!$B$5:$B$40,0)),"?"))</f>
        <v/>
      </c>
      <c r="D695" s="4"/>
      <c r="E695" s="4"/>
      <c r="F695" s="4"/>
      <c r="G695" s="28"/>
      <c r="H695" s="29" t="str">
        <f aca="false">IF(A695="","",DATE(YEAR(A695),MONTH(A695),1))</f>
        <v/>
      </c>
    </row>
    <row r="696" customFormat="false" ht="15" hidden="false" customHeight="false" outlineLevel="0" collapsed="false">
      <c r="A696" s="26"/>
      <c r="B696" s="4"/>
      <c r="C696" s="27" t="str">
        <f aca="false">IF(B696="","",IFERROR(INDEX(Listas!$C$5:$C$40,MATCH(B696,Listas!$B$5:$B$40,0)),"?"))</f>
        <v/>
      </c>
      <c r="D696" s="4"/>
      <c r="E696" s="4"/>
      <c r="F696" s="4"/>
      <c r="G696" s="28"/>
      <c r="H696" s="29" t="str">
        <f aca="false">IF(A696="","",DATE(YEAR(A696),MONTH(A696),1))</f>
        <v/>
      </c>
    </row>
    <row r="697" customFormat="false" ht="15" hidden="false" customHeight="false" outlineLevel="0" collapsed="false">
      <c r="A697" s="26"/>
      <c r="B697" s="4"/>
      <c r="C697" s="27" t="str">
        <f aca="false">IF(B697="","",IFERROR(INDEX(Listas!$C$5:$C$40,MATCH(B697,Listas!$B$5:$B$40,0)),"?"))</f>
        <v/>
      </c>
      <c r="D697" s="4"/>
      <c r="E697" s="4"/>
      <c r="F697" s="4"/>
      <c r="G697" s="28"/>
      <c r="H697" s="29" t="str">
        <f aca="false">IF(A697="","",DATE(YEAR(A697),MONTH(A697),1))</f>
        <v/>
      </c>
    </row>
    <row r="698" customFormat="false" ht="15" hidden="false" customHeight="false" outlineLevel="0" collapsed="false">
      <c r="A698" s="26"/>
      <c r="B698" s="4"/>
      <c r="C698" s="27" t="str">
        <f aca="false">IF(B698="","",IFERROR(INDEX(Listas!$C$5:$C$40,MATCH(B698,Listas!$B$5:$B$40,0)),"?"))</f>
        <v/>
      </c>
      <c r="D698" s="4"/>
      <c r="E698" s="4"/>
      <c r="F698" s="4"/>
      <c r="G698" s="28"/>
      <c r="H698" s="29" t="str">
        <f aca="false">IF(A698="","",DATE(YEAR(A698),MONTH(A698),1))</f>
        <v/>
      </c>
    </row>
    <row r="699" customFormat="false" ht="15" hidden="false" customHeight="false" outlineLevel="0" collapsed="false">
      <c r="A699" s="26"/>
      <c r="B699" s="4"/>
      <c r="C699" s="27" t="str">
        <f aca="false">IF(B699="","",IFERROR(INDEX(Listas!$C$5:$C$40,MATCH(B699,Listas!$B$5:$B$40,0)),"?"))</f>
        <v/>
      </c>
      <c r="D699" s="4"/>
      <c r="E699" s="4"/>
      <c r="F699" s="4"/>
      <c r="G699" s="28"/>
      <c r="H699" s="29" t="str">
        <f aca="false">IF(A699="","",DATE(YEAR(A699),MONTH(A699),1))</f>
        <v/>
      </c>
    </row>
    <row r="700" customFormat="false" ht="15" hidden="false" customHeight="false" outlineLevel="0" collapsed="false">
      <c r="A700" s="26"/>
      <c r="B700" s="4"/>
      <c r="C700" s="27" t="str">
        <f aca="false">IF(B700="","",IFERROR(INDEX(Listas!$C$5:$C$40,MATCH(B700,Listas!$B$5:$B$40,0)),"?"))</f>
        <v/>
      </c>
      <c r="D700" s="4"/>
      <c r="E700" s="4"/>
      <c r="F700" s="4"/>
      <c r="G700" s="28"/>
      <c r="H700" s="29" t="str">
        <f aca="false">IF(A700="","",DATE(YEAR(A700),MONTH(A700),1))</f>
        <v/>
      </c>
    </row>
    <row r="701" customFormat="false" ht="15" hidden="false" customHeight="false" outlineLevel="0" collapsed="false">
      <c r="A701" s="26"/>
      <c r="B701" s="4"/>
      <c r="C701" s="27" t="str">
        <f aca="false">IF(B701="","",IFERROR(INDEX(Listas!$C$5:$C$40,MATCH(B701,Listas!$B$5:$B$40,0)),"?"))</f>
        <v/>
      </c>
      <c r="D701" s="4"/>
      <c r="E701" s="4"/>
      <c r="F701" s="4"/>
      <c r="G701" s="28"/>
      <c r="H701" s="29" t="str">
        <f aca="false">IF(A701="","",DATE(YEAR(A701),MONTH(A701),1))</f>
        <v/>
      </c>
    </row>
    <row r="702" customFormat="false" ht="15" hidden="false" customHeight="false" outlineLevel="0" collapsed="false">
      <c r="A702" s="26"/>
      <c r="B702" s="4"/>
      <c r="C702" s="27" t="str">
        <f aca="false">IF(B702="","",IFERROR(INDEX(Listas!$C$5:$C$40,MATCH(B702,Listas!$B$5:$B$40,0)),"?"))</f>
        <v/>
      </c>
      <c r="D702" s="4"/>
      <c r="E702" s="4"/>
      <c r="F702" s="4"/>
      <c r="G702" s="28"/>
      <c r="H702" s="29" t="str">
        <f aca="false">IF(A702="","",DATE(YEAR(A702),MONTH(A702),1))</f>
        <v/>
      </c>
    </row>
    <row r="703" customFormat="false" ht="15" hidden="false" customHeight="false" outlineLevel="0" collapsed="false">
      <c r="A703" s="26"/>
      <c r="B703" s="4"/>
      <c r="C703" s="27" t="str">
        <f aca="false">IF(B703="","",IFERROR(INDEX(Listas!$C$5:$C$40,MATCH(B703,Listas!$B$5:$B$40,0)),"?"))</f>
        <v/>
      </c>
      <c r="D703" s="4"/>
      <c r="E703" s="4"/>
      <c r="F703" s="4"/>
      <c r="G703" s="28"/>
      <c r="H703" s="29" t="str">
        <f aca="false">IF(A703="","",DATE(YEAR(A703),MONTH(A703),1))</f>
        <v/>
      </c>
    </row>
    <row r="704" customFormat="false" ht="15" hidden="false" customHeight="false" outlineLevel="0" collapsed="false">
      <c r="A704" s="26"/>
      <c r="B704" s="4"/>
      <c r="C704" s="27" t="str">
        <f aca="false">IF(B704="","",IFERROR(INDEX(Listas!$C$5:$C$40,MATCH(B704,Listas!$B$5:$B$40,0)),"?"))</f>
        <v/>
      </c>
      <c r="D704" s="4"/>
      <c r="E704" s="4"/>
      <c r="F704" s="4"/>
      <c r="G704" s="28"/>
      <c r="H704" s="29" t="str">
        <f aca="false">IF(A704="","",DATE(YEAR(A704),MONTH(A704),1))</f>
        <v/>
      </c>
    </row>
    <row r="705" customFormat="false" ht="15" hidden="false" customHeight="false" outlineLevel="0" collapsed="false">
      <c r="A705" s="26"/>
      <c r="B705" s="4"/>
      <c r="C705" s="27" t="str">
        <f aca="false">IF(B705="","",IFERROR(INDEX(Listas!$C$5:$C$40,MATCH(B705,Listas!$B$5:$B$40,0)),"?"))</f>
        <v/>
      </c>
      <c r="D705" s="4"/>
      <c r="E705" s="4"/>
      <c r="F705" s="4"/>
      <c r="G705" s="28"/>
      <c r="H705" s="29" t="str">
        <f aca="false">IF(A705="","",DATE(YEAR(A705),MONTH(A705),1))</f>
        <v/>
      </c>
    </row>
    <row r="706" customFormat="false" ht="15" hidden="false" customHeight="false" outlineLevel="0" collapsed="false">
      <c r="A706" s="26"/>
      <c r="B706" s="4"/>
      <c r="C706" s="27" t="str">
        <f aca="false">IF(B706="","",IFERROR(INDEX(Listas!$C$5:$C$40,MATCH(B706,Listas!$B$5:$B$40,0)),"?"))</f>
        <v/>
      </c>
      <c r="D706" s="4"/>
      <c r="E706" s="4"/>
      <c r="F706" s="4"/>
      <c r="G706" s="28"/>
      <c r="H706" s="29" t="str">
        <f aca="false">IF(A706="","",DATE(YEAR(A706),MONTH(A706),1))</f>
        <v/>
      </c>
    </row>
    <row r="707" customFormat="false" ht="15" hidden="false" customHeight="false" outlineLevel="0" collapsed="false">
      <c r="A707" s="26"/>
      <c r="B707" s="4"/>
      <c r="C707" s="27" t="str">
        <f aca="false">IF(B707="","",IFERROR(INDEX(Listas!$C$5:$C$40,MATCH(B707,Listas!$B$5:$B$40,0)),"?"))</f>
        <v/>
      </c>
      <c r="D707" s="4"/>
      <c r="E707" s="4"/>
      <c r="F707" s="4"/>
      <c r="G707" s="28"/>
      <c r="H707" s="29" t="str">
        <f aca="false">IF(A707="","",DATE(YEAR(A707),MONTH(A707),1))</f>
        <v/>
      </c>
    </row>
    <row r="708" customFormat="false" ht="15" hidden="false" customHeight="false" outlineLevel="0" collapsed="false">
      <c r="A708" s="26"/>
      <c r="B708" s="4"/>
      <c r="C708" s="27" t="str">
        <f aca="false">IF(B708="","",IFERROR(INDEX(Listas!$C$5:$C$40,MATCH(B708,Listas!$B$5:$B$40,0)),"?"))</f>
        <v/>
      </c>
      <c r="D708" s="4"/>
      <c r="E708" s="4"/>
      <c r="F708" s="4"/>
      <c r="G708" s="28"/>
      <c r="H708" s="29" t="str">
        <f aca="false">IF(A708="","",DATE(YEAR(A708),MONTH(A708),1))</f>
        <v/>
      </c>
    </row>
    <row r="709" customFormat="false" ht="15" hidden="false" customHeight="false" outlineLevel="0" collapsed="false">
      <c r="A709" s="26"/>
      <c r="B709" s="4"/>
      <c r="C709" s="27" t="str">
        <f aca="false">IF(B709="","",IFERROR(INDEX(Listas!$C$5:$C$40,MATCH(B709,Listas!$B$5:$B$40,0)),"?"))</f>
        <v/>
      </c>
      <c r="D709" s="4"/>
      <c r="E709" s="4"/>
      <c r="F709" s="4"/>
      <c r="G709" s="28"/>
      <c r="H709" s="29" t="str">
        <f aca="false">IF(A709="","",DATE(YEAR(A709),MONTH(A709),1))</f>
        <v/>
      </c>
    </row>
    <row r="710" customFormat="false" ht="15" hidden="false" customHeight="false" outlineLevel="0" collapsed="false">
      <c r="A710" s="26"/>
      <c r="B710" s="4"/>
      <c r="C710" s="27" t="str">
        <f aca="false">IF(B710="","",IFERROR(INDEX(Listas!$C$5:$C$40,MATCH(B710,Listas!$B$5:$B$40,0)),"?"))</f>
        <v/>
      </c>
      <c r="D710" s="4"/>
      <c r="E710" s="4"/>
      <c r="F710" s="4"/>
      <c r="G710" s="28"/>
      <c r="H710" s="29" t="str">
        <f aca="false">IF(A710="","",DATE(YEAR(A710),MONTH(A710),1))</f>
        <v/>
      </c>
    </row>
    <row r="711" customFormat="false" ht="15" hidden="false" customHeight="false" outlineLevel="0" collapsed="false">
      <c r="A711" s="26"/>
      <c r="B711" s="4"/>
      <c r="C711" s="27" t="str">
        <f aca="false">IF(B711="","",IFERROR(INDEX(Listas!$C$5:$C$40,MATCH(B711,Listas!$B$5:$B$40,0)),"?"))</f>
        <v/>
      </c>
      <c r="D711" s="4"/>
      <c r="E711" s="4"/>
      <c r="F711" s="4"/>
      <c r="G711" s="28"/>
      <c r="H711" s="29" t="str">
        <f aca="false">IF(A711="","",DATE(YEAR(A711),MONTH(A711),1))</f>
        <v/>
      </c>
    </row>
    <row r="712" customFormat="false" ht="15" hidden="false" customHeight="false" outlineLevel="0" collapsed="false">
      <c r="A712" s="26"/>
      <c r="B712" s="4"/>
      <c r="C712" s="27" t="str">
        <f aca="false">IF(B712="","",IFERROR(INDEX(Listas!$C$5:$C$40,MATCH(B712,Listas!$B$5:$B$40,0)),"?"))</f>
        <v/>
      </c>
      <c r="D712" s="4"/>
      <c r="E712" s="4"/>
      <c r="F712" s="4"/>
      <c r="G712" s="28"/>
      <c r="H712" s="29" t="str">
        <f aca="false">IF(A712="","",DATE(YEAR(A712),MONTH(A712),1))</f>
        <v/>
      </c>
    </row>
    <row r="713" customFormat="false" ht="15" hidden="false" customHeight="false" outlineLevel="0" collapsed="false">
      <c r="A713" s="26"/>
      <c r="B713" s="4"/>
      <c r="C713" s="27" t="str">
        <f aca="false">IF(B713="","",IFERROR(INDEX(Listas!$C$5:$C$40,MATCH(B713,Listas!$B$5:$B$40,0)),"?"))</f>
        <v/>
      </c>
      <c r="D713" s="4"/>
      <c r="E713" s="4"/>
      <c r="F713" s="4"/>
      <c r="G713" s="28"/>
      <c r="H713" s="29" t="str">
        <f aca="false">IF(A713="","",DATE(YEAR(A713),MONTH(A713),1))</f>
        <v/>
      </c>
    </row>
    <row r="714" customFormat="false" ht="15" hidden="false" customHeight="false" outlineLevel="0" collapsed="false">
      <c r="A714" s="26"/>
      <c r="B714" s="4"/>
      <c r="C714" s="27" t="str">
        <f aca="false">IF(B714="","",IFERROR(INDEX(Listas!$C$5:$C$40,MATCH(B714,Listas!$B$5:$B$40,0)),"?"))</f>
        <v/>
      </c>
      <c r="D714" s="4"/>
      <c r="E714" s="4"/>
      <c r="F714" s="4"/>
      <c r="G714" s="28"/>
      <c r="H714" s="29" t="str">
        <f aca="false">IF(A714="","",DATE(YEAR(A714),MONTH(A714),1))</f>
        <v/>
      </c>
    </row>
    <row r="715" customFormat="false" ht="15" hidden="false" customHeight="false" outlineLevel="0" collapsed="false">
      <c r="A715" s="26"/>
      <c r="B715" s="4"/>
      <c r="C715" s="27" t="str">
        <f aca="false">IF(B715="","",IFERROR(INDEX(Listas!$C$5:$C$40,MATCH(B715,Listas!$B$5:$B$40,0)),"?"))</f>
        <v/>
      </c>
      <c r="D715" s="4"/>
      <c r="E715" s="4"/>
      <c r="F715" s="4"/>
      <c r="G715" s="28"/>
      <c r="H715" s="29" t="str">
        <f aca="false">IF(A715="","",DATE(YEAR(A715),MONTH(A715),1))</f>
        <v/>
      </c>
    </row>
    <row r="716" customFormat="false" ht="15" hidden="false" customHeight="false" outlineLevel="0" collapsed="false">
      <c r="A716" s="26"/>
      <c r="B716" s="4"/>
      <c r="C716" s="27" t="str">
        <f aca="false">IF(B716="","",IFERROR(INDEX(Listas!$C$5:$C$40,MATCH(B716,Listas!$B$5:$B$40,0)),"?"))</f>
        <v/>
      </c>
      <c r="D716" s="4"/>
      <c r="E716" s="4"/>
      <c r="F716" s="4"/>
      <c r="G716" s="28"/>
      <c r="H716" s="29" t="str">
        <f aca="false">IF(A716="","",DATE(YEAR(A716),MONTH(A716),1))</f>
        <v/>
      </c>
    </row>
    <row r="717" customFormat="false" ht="15" hidden="false" customHeight="false" outlineLevel="0" collapsed="false">
      <c r="A717" s="26"/>
      <c r="B717" s="4"/>
      <c r="C717" s="27" t="str">
        <f aca="false">IF(B717="","",IFERROR(INDEX(Listas!$C$5:$C$40,MATCH(B717,Listas!$B$5:$B$40,0)),"?"))</f>
        <v/>
      </c>
      <c r="D717" s="4"/>
      <c r="E717" s="4"/>
      <c r="F717" s="4"/>
      <c r="G717" s="28"/>
      <c r="H717" s="29" t="str">
        <f aca="false">IF(A717="","",DATE(YEAR(A717),MONTH(A717),1))</f>
        <v/>
      </c>
    </row>
    <row r="718" customFormat="false" ht="15" hidden="false" customHeight="false" outlineLevel="0" collapsed="false">
      <c r="A718" s="26"/>
      <c r="B718" s="4"/>
      <c r="C718" s="27" t="str">
        <f aca="false">IF(B718="","",IFERROR(INDEX(Listas!$C$5:$C$40,MATCH(B718,Listas!$B$5:$B$40,0)),"?"))</f>
        <v/>
      </c>
      <c r="D718" s="4"/>
      <c r="E718" s="4"/>
      <c r="F718" s="4"/>
      <c r="G718" s="28"/>
      <c r="H718" s="29" t="str">
        <f aca="false">IF(A718="","",DATE(YEAR(A718),MONTH(A718),1))</f>
        <v/>
      </c>
    </row>
    <row r="719" customFormat="false" ht="15" hidden="false" customHeight="false" outlineLevel="0" collapsed="false">
      <c r="A719" s="26"/>
      <c r="B719" s="4"/>
      <c r="C719" s="27" t="str">
        <f aca="false">IF(B719="","",IFERROR(INDEX(Listas!$C$5:$C$40,MATCH(B719,Listas!$B$5:$B$40,0)),"?"))</f>
        <v/>
      </c>
      <c r="D719" s="4"/>
      <c r="E719" s="4"/>
      <c r="F719" s="4"/>
      <c r="G719" s="28"/>
      <c r="H719" s="29" t="str">
        <f aca="false">IF(A719="","",DATE(YEAR(A719),MONTH(A719),1))</f>
        <v/>
      </c>
    </row>
    <row r="720" customFormat="false" ht="15" hidden="false" customHeight="false" outlineLevel="0" collapsed="false">
      <c r="A720" s="26"/>
      <c r="B720" s="4"/>
      <c r="C720" s="27" t="str">
        <f aca="false">IF(B720="","",IFERROR(INDEX(Listas!$C$5:$C$40,MATCH(B720,Listas!$B$5:$B$40,0)),"?"))</f>
        <v/>
      </c>
      <c r="D720" s="4"/>
      <c r="E720" s="4"/>
      <c r="F720" s="4"/>
      <c r="G720" s="28"/>
      <c r="H720" s="29" t="str">
        <f aca="false">IF(A720="","",DATE(YEAR(A720),MONTH(A720),1))</f>
        <v/>
      </c>
    </row>
    <row r="721" customFormat="false" ht="15" hidden="false" customHeight="false" outlineLevel="0" collapsed="false">
      <c r="A721" s="26"/>
      <c r="B721" s="4"/>
      <c r="C721" s="27" t="str">
        <f aca="false">IF(B721="","",IFERROR(INDEX(Listas!$C$5:$C$40,MATCH(B721,Listas!$B$5:$B$40,0)),"?"))</f>
        <v/>
      </c>
      <c r="D721" s="4"/>
      <c r="E721" s="4"/>
      <c r="F721" s="4"/>
      <c r="G721" s="28"/>
      <c r="H721" s="29" t="str">
        <f aca="false">IF(A721="","",DATE(YEAR(A721),MONTH(A721),1))</f>
        <v/>
      </c>
    </row>
    <row r="722" customFormat="false" ht="15" hidden="false" customHeight="false" outlineLevel="0" collapsed="false">
      <c r="A722" s="26"/>
      <c r="B722" s="4"/>
      <c r="C722" s="27" t="str">
        <f aca="false">IF(B722="","",IFERROR(INDEX(Listas!$C$5:$C$40,MATCH(B722,Listas!$B$5:$B$40,0)),"?"))</f>
        <v/>
      </c>
      <c r="D722" s="4"/>
      <c r="E722" s="4"/>
      <c r="F722" s="4"/>
      <c r="G722" s="28"/>
      <c r="H722" s="29" t="str">
        <f aca="false">IF(A722="","",DATE(YEAR(A722),MONTH(A722),1))</f>
        <v/>
      </c>
    </row>
    <row r="723" customFormat="false" ht="15" hidden="false" customHeight="false" outlineLevel="0" collapsed="false">
      <c r="A723" s="26"/>
      <c r="B723" s="4"/>
      <c r="C723" s="27" t="str">
        <f aca="false">IF(B723="","",IFERROR(INDEX(Listas!$C$5:$C$40,MATCH(B723,Listas!$B$5:$B$40,0)),"?"))</f>
        <v/>
      </c>
      <c r="D723" s="4"/>
      <c r="E723" s="4"/>
      <c r="F723" s="4"/>
      <c r="G723" s="28"/>
      <c r="H723" s="29" t="str">
        <f aca="false">IF(A723="","",DATE(YEAR(A723),MONTH(A723),1))</f>
        <v/>
      </c>
    </row>
    <row r="724" customFormat="false" ht="15" hidden="false" customHeight="false" outlineLevel="0" collapsed="false">
      <c r="A724" s="26"/>
      <c r="B724" s="4"/>
      <c r="C724" s="27" t="str">
        <f aca="false">IF(B724="","",IFERROR(INDEX(Listas!$C$5:$C$40,MATCH(B724,Listas!$B$5:$B$40,0)),"?"))</f>
        <v/>
      </c>
      <c r="D724" s="4"/>
      <c r="E724" s="4"/>
      <c r="F724" s="4"/>
      <c r="G724" s="28"/>
      <c r="H724" s="29" t="str">
        <f aca="false">IF(A724="","",DATE(YEAR(A724),MONTH(A724),1))</f>
        <v/>
      </c>
    </row>
    <row r="725" customFormat="false" ht="15" hidden="false" customHeight="false" outlineLevel="0" collapsed="false">
      <c r="A725" s="26"/>
      <c r="B725" s="4"/>
      <c r="C725" s="27" t="str">
        <f aca="false">IF(B725="","",IFERROR(INDEX(Listas!$C$5:$C$40,MATCH(B725,Listas!$B$5:$B$40,0)),"?"))</f>
        <v/>
      </c>
      <c r="D725" s="4"/>
      <c r="E725" s="4"/>
      <c r="F725" s="4"/>
      <c r="G725" s="28"/>
      <c r="H725" s="29" t="str">
        <f aca="false">IF(A725="","",DATE(YEAR(A725),MONTH(A725),1))</f>
        <v/>
      </c>
    </row>
    <row r="726" customFormat="false" ht="15" hidden="false" customHeight="false" outlineLevel="0" collapsed="false">
      <c r="A726" s="26"/>
      <c r="B726" s="4"/>
      <c r="C726" s="27" t="str">
        <f aca="false">IF(B726="","",IFERROR(INDEX(Listas!$C$5:$C$40,MATCH(B726,Listas!$B$5:$B$40,0)),"?"))</f>
        <v/>
      </c>
      <c r="D726" s="4"/>
      <c r="E726" s="4"/>
      <c r="F726" s="4"/>
      <c r="G726" s="28"/>
      <c r="H726" s="29" t="str">
        <f aca="false">IF(A726="","",DATE(YEAR(A726),MONTH(A726),1))</f>
        <v/>
      </c>
    </row>
    <row r="727" customFormat="false" ht="15" hidden="false" customHeight="false" outlineLevel="0" collapsed="false">
      <c r="A727" s="26"/>
      <c r="B727" s="4"/>
      <c r="C727" s="27" t="str">
        <f aca="false">IF(B727="","",IFERROR(INDEX(Listas!$C$5:$C$40,MATCH(B727,Listas!$B$5:$B$40,0)),"?"))</f>
        <v/>
      </c>
      <c r="D727" s="4"/>
      <c r="E727" s="4"/>
      <c r="F727" s="4"/>
      <c r="G727" s="28"/>
      <c r="H727" s="29" t="str">
        <f aca="false">IF(A727="","",DATE(YEAR(A727),MONTH(A727),1))</f>
        <v/>
      </c>
    </row>
    <row r="728" customFormat="false" ht="15" hidden="false" customHeight="false" outlineLevel="0" collapsed="false">
      <c r="A728" s="26"/>
      <c r="B728" s="4"/>
      <c r="C728" s="27" t="str">
        <f aca="false">IF(B728="","",IFERROR(INDEX(Listas!$C$5:$C$40,MATCH(B728,Listas!$B$5:$B$40,0)),"?"))</f>
        <v/>
      </c>
      <c r="D728" s="4"/>
      <c r="E728" s="4"/>
      <c r="F728" s="4"/>
      <c r="G728" s="28"/>
      <c r="H728" s="29" t="str">
        <f aca="false">IF(A728="","",DATE(YEAR(A728),MONTH(A728),1))</f>
        <v/>
      </c>
    </row>
    <row r="729" customFormat="false" ht="15" hidden="false" customHeight="false" outlineLevel="0" collapsed="false">
      <c r="A729" s="26"/>
      <c r="B729" s="4"/>
      <c r="C729" s="27" t="str">
        <f aca="false">IF(B729="","",IFERROR(INDEX(Listas!$C$5:$C$40,MATCH(B729,Listas!$B$5:$B$40,0)),"?"))</f>
        <v/>
      </c>
      <c r="D729" s="4"/>
      <c r="E729" s="4"/>
      <c r="F729" s="4"/>
      <c r="G729" s="28"/>
      <c r="H729" s="29" t="str">
        <f aca="false">IF(A729="","",DATE(YEAR(A729),MONTH(A729),1))</f>
        <v/>
      </c>
    </row>
    <row r="730" customFormat="false" ht="15" hidden="false" customHeight="false" outlineLevel="0" collapsed="false">
      <c r="A730" s="26"/>
      <c r="B730" s="4"/>
      <c r="C730" s="27" t="str">
        <f aca="false">IF(B730="","",IFERROR(INDEX(Listas!$C$5:$C$40,MATCH(B730,Listas!$B$5:$B$40,0)),"?"))</f>
        <v/>
      </c>
      <c r="D730" s="4"/>
      <c r="E730" s="4"/>
      <c r="F730" s="4"/>
      <c r="G730" s="28"/>
      <c r="H730" s="29" t="str">
        <f aca="false">IF(A730="","",DATE(YEAR(A730),MONTH(A730),1))</f>
        <v/>
      </c>
    </row>
    <row r="731" customFormat="false" ht="15" hidden="false" customHeight="false" outlineLevel="0" collapsed="false">
      <c r="A731" s="26"/>
      <c r="B731" s="4"/>
      <c r="C731" s="27" t="str">
        <f aca="false">IF(B731="","",IFERROR(INDEX(Listas!$C$5:$C$40,MATCH(B731,Listas!$B$5:$B$40,0)),"?"))</f>
        <v/>
      </c>
      <c r="D731" s="4"/>
      <c r="E731" s="4"/>
      <c r="F731" s="4"/>
      <c r="G731" s="28"/>
      <c r="H731" s="29" t="str">
        <f aca="false">IF(A731="","",DATE(YEAR(A731),MONTH(A731),1))</f>
        <v/>
      </c>
    </row>
    <row r="732" customFormat="false" ht="15" hidden="false" customHeight="false" outlineLevel="0" collapsed="false">
      <c r="A732" s="26"/>
      <c r="B732" s="4"/>
      <c r="C732" s="27" t="str">
        <f aca="false">IF(B732="","",IFERROR(INDEX(Listas!$C$5:$C$40,MATCH(B732,Listas!$B$5:$B$40,0)),"?"))</f>
        <v/>
      </c>
      <c r="D732" s="4"/>
      <c r="E732" s="4"/>
      <c r="F732" s="4"/>
      <c r="G732" s="28"/>
      <c r="H732" s="29" t="str">
        <f aca="false">IF(A732="","",DATE(YEAR(A732),MONTH(A732),1))</f>
        <v/>
      </c>
    </row>
    <row r="733" customFormat="false" ht="15" hidden="false" customHeight="false" outlineLevel="0" collapsed="false">
      <c r="A733" s="26"/>
      <c r="B733" s="4"/>
      <c r="C733" s="27" t="str">
        <f aca="false">IF(B733="","",IFERROR(INDEX(Listas!$C$5:$C$40,MATCH(B733,Listas!$B$5:$B$40,0)),"?"))</f>
        <v/>
      </c>
      <c r="D733" s="4"/>
      <c r="E733" s="4"/>
      <c r="F733" s="4"/>
      <c r="G733" s="28"/>
      <c r="H733" s="29" t="str">
        <f aca="false">IF(A733="","",DATE(YEAR(A733),MONTH(A733),1))</f>
        <v/>
      </c>
    </row>
    <row r="734" customFormat="false" ht="15" hidden="false" customHeight="false" outlineLevel="0" collapsed="false">
      <c r="A734" s="26"/>
      <c r="B734" s="4"/>
      <c r="C734" s="27" t="str">
        <f aca="false">IF(B734="","",IFERROR(INDEX(Listas!$C$5:$C$40,MATCH(B734,Listas!$B$5:$B$40,0)),"?"))</f>
        <v/>
      </c>
      <c r="D734" s="4"/>
      <c r="E734" s="4"/>
      <c r="F734" s="4"/>
      <c r="G734" s="28"/>
      <c r="H734" s="29" t="str">
        <f aca="false">IF(A734="","",DATE(YEAR(A734),MONTH(A734),1))</f>
        <v/>
      </c>
    </row>
    <row r="735" customFormat="false" ht="15" hidden="false" customHeight="false" outlineLevel="0" collapsed="false">
      <c r="A735" s="26"/>
      <c r="B735" s="4"/>
      <c r="C735" s="27" t="str">
        <f aca="false">IF(B735="","",IFERROR(INDEX(Listas!$C$5:$C$40,MATCH(B735,Listas!$B$5:$B$40,0)),"?"))</f>
        <v/>
      </c>
      <c r="D735" s="4"/>
      <c r="E735" s="4"/>
      <c r="F735" s="4"/>
      <c r="G735" s="28"/>
      <c r="H735" s="29" t="str">
        <f aca="false">IF(A735="","",DATE(YEAR(A735),MONTH(A735),1))</f>
        <v/>
      </c>
    </row>
    <row r="736" customFormat="false" ht="15" hidden="false" customHeight="false" outlineLevel="0" collapsed="false">
      <c r="A736" s="26"/>
      <c r="B736" s="4"/>
      <c r="C736" s="27" t="str">
        <f aca="false">IF(B736="","",IFERROR(INDEX(Listas!$C$5:$C$40,MATCH(B736,Listas!$B$5:$B$40,0)),"?"))</f>
        <v/>
      </c>
      <c r="D736" s="4"/>
      <c r="E736" s="4"/>
      <c r="F736" s="4"/>
      <c r="G736" s="28"/>
      <c r="H736" s="29" t="str">
        <f aca="false">IF(A736="","",DATE(YEAR(A736),MONTH(A736),1))</f>
        <v/>
      </c>
    </row>
    <row r="737" customFormat="false" ht="15" hidden="false" customHeight="false" outlineLevel="0" collapsed="false">
      <c r="A737" s="26"/>
      <c r="B737" s="4"/>
      <c r="C737" s="27" t="str">
        <f aca="false">IF(B737="","",IFERROR(INDEX(Listas!$C$5:$C$40,MATCH(B737,Listas!$B$5:$B$40,0)),"?"))</f>
        <v/>
      </c>
      <c r="D737" s="4"/>
      <c r="E737" s="4"/>
      <c r="F737" s="4"/>
      <c r="G737" s="28"/>
      <c r="H737" s="29" t="str">
        <f aca="false">IF(A737="","",DATE(YEAR(A737),MONTH(A737),1))</f>
        <v/>
      </c>
    </row>
    <row r="738" customFormat="false" ht="15" hidden="false" customHeight="false" outlineLevel="0" collapsed="false">
      <c r="A738" s="26"/>
      <c r="B738" s="4"/>
      <c r="C738" s="27" t="str">
        <f aca="false">IF(B738="","",IFERROR(INDEX(Listas!$C$5:$C$40,MATCH(B738,Listas!$B$5:$B$40,0)),"?"))</f>
        <v/>
      </c>
      <c r="D738" s="4"/>
      <c r="E738" s="4"/>
      <c r="F738" s="4"/>
      <c r="G738" s="28"/>
      <c r="H738" s="29" t="str">
        <f aca="false">IF(A738="","",DATE(YEAR(A738),MONTH(A738),1))</f>
        <v/>
      </c>
    </row>
    <row r="739" customFormat="false" ht="15" hidden="false" customHeight="false" outlineLevel="0" collapsed="false">
      <c r="A739" s="26"/>
      <c r="B739" s="4"/>
      <c r="C739" s="27" t="str">
        <f aca="false">IF(B739="","",IFERROR(INDEX(Listas!$C$5:$C$40,MATCH(B739,Listas!$B$5:$B$40,0)),"?"))</f>
        <v/>
      </c>
      <c r="D739" s="4"/>
      <c r="E739" s="4"/>
      <c r="F739" s="4"/>
      <c r="G739" s="28"/>
      <c r="H739" s="29" t="str">
        <f aca="false">IF(A739="","",DATE(YEAR(A739),MONTH(A739),1))</f>
        <v/>
      </c>
    </row>
    <row r="740" customFormat="false" ht="15" hidden="false" customHeight="false" outlineLevel="0" collapsed="false">
      <c r="A740" s="26"/>
      <c r="B740" s="4"/>
      <c r="C740" s="27" t="str">
        <f aca="false">IF(B740="","",IFERROR(INDEX(Listas!$C$5:$C$40,MATCH(B740,Listas!$B$5:$B$40,0)),"?"))</f>
        <v/>
      </c>
      <c r="D740" s="4"/>
      <c r="E740" s="4"/>
      <c r="F740" s="4"/>
      <c r="G740" s="28"/>
      <c r="H740" s="29" t="str">
        <f aca="false">IF(A740="","",DATE(YEAR(A740),MONTH(A740),1))</f>
        <v/>
      </c>
    </row>
    <row r="741" customFormat="false" ht="15" hidden="false" customHeight="false" outlineLevel="0" collapsed="false">
      <c r="A741" s="26"/>
      <c r="B741" s="4"/>
      <c r="C741" s="27" t="str">
        <f aca="false">IF(B741="","",IFERROR(INDEX(Listas!$C$5:$C$40,MATCH(B741,Listas!$B$5:$B$40,0)),"?"))</f>
        <v/>
      </c>
      <c r="D741" s="4"/>
      <c r="E741" s="4"/>
      <c r="F741" s="4"/>
      <c r="G741" s="28"/>
      <c r="H741" s="29" t="str">
        <f aca="false">IF(A741="","",DATE(YEAR(A741),MONTH(A741),1))</f>
        <v/>
      </c>
    </row>
    <row r="742" customFormat="false" ht="15" hidden="false" customHeight="false" outlineLevel="0" collapsed="false">
      <c r="A742" s="26"/>
      <c r="B742" s="4"/>
      <c r="C742" s="27" t="str">
        <f aca="false">IF(B742="","",IFERROR(INDEX(Listas!$C$5:$C$40,MATCH(B742,Listas!$B$5:$B$40,0)),"?"))</f>
        <v/>
      </c>
      <c r="D742" s="4"/>
      <c r="E742" s="4"/>
      <c r="F742" s="4"/>
      <c r="G742" s="28"/>
      <c r="H742" s="29" t="str">
        <f aca="false">IF(A742="","",DATE(YEAR(A742),MONTH(A742),1))</f>
        <v/>
      </c>
    </row>
    <row r="743" customFormat="false" ht="15" hidden="false" customHeight="false" outlineLevel="0" collapsed="false">
      <c r="A743" s="26"/>
      <c r="B743" s="4"/>
      <c r="C743" s="27" t="str">
        <f aca="false">IF(B743="","",IFERROR(INDEX(Listas!$C$5:$C$40,MATCH(B743,Listas!$B$5:$B$40,0)),"?"))</f>
        <v/>
      </c>
      <c r="D743" s="4"/>
      <c r="E743" s="4"/>
      <c r="F743" s="4"/>
      <c r="G743" s="28"/>
      <c r="H743" s="29" t="str">
        <f aca="false">IF(A743="","",DATE(YEAR(A743),MONTH(A743),1))</f>
        <v/>
      </c>
    </row>
    <row r="744" customFormat="false" ht="15" hidden="false" customHeight="false" outlineLevel="0" collapsed="false">
      <c r="A744" s="26"/>
      <c r="B744" s="4"/>
      <c r="C744" s="27" t="str">
        <f aca="false">IF(B744="","",IFERROR(INDEX(Listas!$C$5:$C$40,MATCH(B744,Listas!$B$5:$B$40,0)),"?"))</f>
        <v/>
      </c>
      <c r="D744" s="4"/>
      <c r="E744" s="4"/>
      <c r="F744" s="4"/>
      <c r="G744" s="28"/>
      <c r="H744" s="29" t="str">
        <f aca="false">IF(A744="","",DATE(YEAR(A744),MONTH(A744),1))</f>
        <v/>
      </c>
    </row>
    <row r="745" customFormat="false" ht="15" hidden="false" customHeight="false" outlineLevel="0" collapsed="false">
      <c r="A745" s="26"/>
      <c r="B745" s="4"/>
      <c r="C745" s="27" t="str">
        <f aca="false">IF(B745="","",IFERROR(INDEX(Listas!$C$5:$C$40,MATCH(B745,Listas!$B$5:$B$40,0)),"?"))</f>
        <v/>
      </c>
      <c r="D745" s="4"/>
      <c r="E745" s="4"/>
      <c r="F745" s="4"/>
      <c r="G745" s="28"/>
      <c r="H745" s="29" t="str">
        <f aca="false">IF(A745="","",DATE(YEAR(A745),MONTH(A745),1))</f>
        <v/>
      </c>
    </row>
    <row r="746" customFormat="false" ht="15" hidden="false" customHeight="false" outlineLevel="0" collapsed="false">
      <c r="A746" s="26"/>
      <c r="B746" s="4"/>
      <c r="C746" s="27" t="str">
        <f aca="false">IF(B746="","",IFERROR(INDEX(Listas!$C$5:$C$40,MATCH(B746,Listas!$B$5:$B$40,0)),"?"))</f>
        <v/>
      </c>
      <c r="D746" s="4"/>
      <c r="E746" s="4"/>
      <c r="F746" s="4"/>
      <c r="G746" s="28"/>
      <c r="H746" s="29" t="str">
        <f aca="false">IF(A746="","",DATE(YEAR(A746),MONTH(A746),1))</f>
        <v/>
      </c>
    </row>
    <row r="747" customFormat="false" ht="15" hidden="false" customHeight="false" outlineLevel="0" collapsed="false">
      <c r="A747" s="26"/>
      <c r="B747" s="4"/>
      <c r="C747" s="27" t="str">
        <f aca="false">IF(B747="","",IFERROR(INDEX(Listas!$C$5:$C$40,MATCH(B747,Listas!$B$5:$B$40,0)),"?"))</f>
        <v/>
      </c>
      <c r="D747" s="4"/>
      <c r="E747" s="4"/>
      <c r="F747" s="4"/>
      <c r="G747" s="28"/>
      <c r="H747" s="29" t="str">
        <f aca="false">IF(A747="","",DATE(YEAR(A747),MONTH(A747),1))</f>
        <v/>
      </c>
    </row>
    <row r="748" customFormat="false" ht="15" hidden="false" customHeight="false" outlineLevel="0" collapsed="false">
      <c r="A748" s="26"/>
      <c r="B748" s="4"/>
      <c r="C748" s="27" t="str">
        <f aca="false">IF(B748="","",IFERROR(INDEX(Listas!$C$5:$C$40,MATCH(B748,Listas!$B$5:$B$40,0)),"?"))</f>
        <v/>
      </c>
      <c r="D748" s="4"/>
      <c r="E748" s="4"/>
      <c r="F748" s="4"/>
      <c r="G748" s="28"/>
      <c r="H748" s="29" t="str">
        <f aca="false">IF(A748="","",DATE(YEAR(A748),MONTH(A748),1))</f>
        <v/>
      </c>
    </row>
    <row r="749" customFormat="false" ht="15" hidden="false" customHeight="false" outlineLevel="0" collapsed="false">
      <c r="A749" s="26"/>
      <c r="B749" s="4"/>
      <c r="C749" s="27" t="str">
        <f aca="false">IF(B749="","",IFERROR(INDEX(Listas!$C$5:$C$40,MATCH(B749,Listas!$B$5:$B$40,0)),"?"))</f>
        <v/>
      </c>
      <c r="D749" s="4"/>
      <c r="E749" s="4"/>
      <c r="F749" s="4"/>
      <c r="G749" s="28"/>
      <c r="H749" s="29" t="str">
        <f aca="false">IF(A749="","",DATE(YEAR(A749),MONTH(A749),1))</f>
        <v/>
      </c>
    </row>
    <row r="750" customFormat="false" ht="15" hidden="false" customHeight="false" outlineLevel="0" collapsed="false">
      <c r="A750" s="26"/>
      <c r="B750" s="4"/>
      <c r="C750" s="27" t="str">
        <f aca="false">IF(B750="","",IFERROR(INDEX(Listas!$C$5:$C$40,MATCH(B750,Listas!$B$5:$B$40,0)),"?"))</f>
        <v/>
      </c>
      <c r="D750" s="4"/>
      <c r="E750" s="4"/>
      <c r="F750" s="4"/>
      <c r="G750" s="28"/>
      <c r="H750" s="29" t="str">
        <f aca="false">IF(A750="","",DATE(YEAR(A750),MONTH(A750),1))</f>
        <v/>
      </c>
    </row>
    <row r="751" customFormat="false" ht="15" hidden="false" customHeight="false" outlineLevel="0" collapsed="false">
      <c r="A751" s="26"/>
      <c r="B751" s="4"/>
      <c r="C751" s="27" t="str">
        <f aca="false">IF(B751="","",IFERROR(INDEX(Listas!$C$5:$C$40,MATCH(B751,Listas!$B$5:$B$40,0)),"?"))</f>
        <v/>
      </c>
      <c r="D751" s="4"/>
      <c r="E751" s="4"/>
      <c r="F751" s="4"/>
      <c r="G751" s="28"/>
      <c r="H751" s="29" t="str">
        <f aca="false">IF(A751="","",DATE(YEAR(A751),MONTH(A751),1))</f>
        <v/>
      </c>
    </row>
    <row r="752" customFormat="false" ht="15" hidden="false" customHeight="false" outlineLevel="0" collapsed="false">
      <c r="A752" s="26"/>
      <c r="B752" s="4"/>
      <c r="C752" s="27" t="str">
        <f aca="false">IF(B752="","",IFERROR(INDEX(Listas!$C$5:$C$40,MATCH(B752,Listas!$B$5:$B$40,0)),"?"))</f>
        <v/>
      </c>
      <c r="D752" s="4"/>
      <c r="E752" s="4"/>
      <c r="F752" s="4"/>
      <c r="G752" s="28"/>
      <c r="H752" s="29" t="str">
        <f aca="false">IF(A752="","",DATE(YEAR(A752),MONTH(A752),1))</f>
        <v/>
      </c>
    </row>
    <row r="753" customFormat="false" ht="15" hidden="false" customHeight="false" outlineLevel="0" collapsed="false">
      <c r="A753" s="26"/>
      <c r="B753" s="4"/>
      <c r="C753" s="27" t="str">
        <f aca="false">IF(B753="","",IFERROR(INDEX(Listas!$C$5:$C$40,MATCH(B753,Listas!$B$5:$B$40,0)),"?"))</f>
        <v/>
      </c>
      <c r="D753" s="4"/>
      <c r="E753" s="4"/>
      <c r="F753" s="4"/>
      <c r="G753" s="28"/>
      <c r="H753" s="29" t="str">
        <f aca="false">IF(A753="","",DATE(YEAR(A753),MONTH(A753),1))</f>
        <v/>
      </c>
    </row>
    <row r="754" customFormat="false" ht="15" hidden="false" customHeight="false" outlineLevel="0" collapsed="false">
      <c r="A754" s="26"/>
      <c r="B754" s="4"/>
      <c r="C754" s="27" t="str">
        <f aca="false">IF(B754="","",IFERROR(INDEX(Listas!$C$5:$C$40,MATCH(B754,Listas!$B$5:$B$40,0)),"?"))</f>
        <v/>
      </c>
      <c r="D754" s="4"/>
      <c r="E754" s="4"/>
      <c r="F754" s="4"/>
      <c r="G754" s="28"/>
      <c r="H754" s="29" t="str">
        <f aca="false">IF(A754="","",DATE(YEAR(A754),MONTH(A754),1))</f>
        <v/>
      </c>
    </row>
    <row r="755" customFormat="false" ht="15" hidden="false" customHeight="false" outlineLevel="0" collapsed="false">
      <c r="A755" s="26"/>
      <c r="B755" s="4"/>
      <c r="C755" s="27" t="str">
        <f aca="false">IF(B755="","",IFERROR(INDEX(Listas!$C$5:$C$40,MATCH(B755,Listas!$B$5:$B$40,0)),"?"))</f>
        <v/>
      </c>
      <c r="D755" s="4"/>
      <c r="E755" s="4"/>
      <c r="F755" s="4"/>
      <c r="G755" s="28"/>
      <c r="H755" s="29" t="str">
        <f aca="false">IF(A755="","",DATE(YEAR(A755),MONTH(A755),1))</f>
        <v/>
      </c>
    </row>
    <row r="756" customFormat="false" ht="15" hidden="false" customHeight="false" outlineLevel="0" collapsed="false">
      <c r="A756" s="26"/>
      <c r="B756" s="4"/>
      <c r="C756" s="27" t="str">
        <f aca="false">IF(B756="","",IFERROR(INDEX(Listas!$C$5:$C$40,MATCH(B756,Listas!$B$5:$B$40,0)),"?"))</f>
        <v/>
      </c>
      <c r="D756" s="4"/>
      <c r="E756" s="4"/>
      <c r="F756" s="4"/>
      <c r="G756" s="28"/>
      <c r="H756" s="29" t="str">
        <f aca="false">IF(A756="","",DATE(YEAR(A756),MONTH(A756),1))</f>
        <v/>
      </c>
    </row>
    <row r="757" customFormat="false" ht="15" hidden="false" customHeight="false" outlineLevel="0" collapsed="false">
      <c r="A757" s="26"/>
      <c r="B757" s="4"/>
      <c r="C757" s="27" t="str">
        <f aca="false">IF(B757="","",IFERROR(INDEX(Listas!$C$5:$C$40,MATCH(B757,Listas!$B$5:$B$40,0)),"?"))</f>
        <v/>
      </c>
      <c r="D757" s="4"/>
      <c r="E757" s="4"/>
      <c r="F757" s="4"/>
      <c r="G757" s="28"/>
      <c r="H757" s="29" t="str">
        <f aca="false">IF(A757="","",DATE(YEAR(A757),MONTH(A757),1))</f>
        <v/>
      </c>
    </row>
    <row r="758" customFormat="false" ht="15" hidden="false" customHeight="false" outlineLevel="0" collapsed="false">
      <c r="A758" s="26"/>
      <c r="B758" s="4"/>
      <c r="C758" s="27" t="str">
        <f aca="false">IF(B758="","",IFERROR(INDEX(Listas!$C$5:$C$40,MATCH(B758,Listas!$B$5:$B$40,0)),"?"))</f>
        <v/>
      </c>
      <c r="D758" s="4"/>
      <c r="E758" s="4"/>
      <c r="F758" s="4"/>
      <c r="G758" s="28"/>
      <c r="H758" s="29" t="str">
        <f aca="false">IF(A758="","",DATE(YEAR(A758),MONTH(A758),1))</f>
        <v/>
      </c>
    </row>
    <row r="759" customFormat="false" ht="15" hidden="false" customHeight="false" outlineLevel="0" collapsed="false">
      <c r="A759" s="26"/>
      <c r="B759" s="4"/>
      <c r="C759" s="27" t="str">
        <f aca="false">IF(B759="","",IFERROR(INDEX(Listas!$C$5:$C$40,MATCH(B759,Listas!$B$5:$B$40,0)),"?"))</f>
        <v/>
      </c>
      <c r="D759" s="4"/>
      <c r="E759" s="4"/>
      <c r="F759" s="4"/>
      <c r="G759" s="28"/>
      <c r="H759" s="29" t="str">
        <f aca="false">IF(A759="","",DATE(YEAR(A759),MONTH(A759),1))</f>
        <v/>
      </c>
    </row>
    <row r="760" customFormat="false" ht="15" hidden="false" customHeight="false" outlineLevel="0" collapsed="false">
      <c r="A760" s="26"/>
      <c r="B760" s="4"/>
      <c r="C760" s="27" t="str">
        <f aca="false">IF(B760="","",IFERROR(INDEX(Listas!$C$5:$C$40,MATCH(B760,Listas!$B$5:$B$40,0)),"?"))</f>
        <v/>
      </c>
      <c r="D760" s="4"/>
      <c r="E760" s="4"/>
      <c r="F760" s="4"/>
      <c r="G760" s="28"/>
      <c r="H760" s="29" t="str">
        <f aca="false">IF(A760="","",DATE(YEAR(A760),MONTH(A760),1))</f>
        <v/>
      </c>
    </row>
    <row r="761" customFormat="false" ht="15" hidden="false" customHeight="false" outlineLevel="0" collapsed="false">
      <c r="A761" s="26"/>
      <c r="B761" s="4"/>
      <c r="C761" s="27" t="str">
        <f aca="false">IF(B761="","",IFERROR(INDEX(Listas!$C$5:$C$40,MATCH(B761,Listas!$B$5:$B$40,0)),"?"))</f>
        <v/>
      </c>
      <c r="D761" s="4"/>
      <c r="E761" s="4"/>
      <c r="F761" s="4"/>
      <c r="G761" s="28"/>
      <c r="H761" s="29" t="str">
        <f aca="false">IF(A761="","",DATE(YEAR(A761),MONTH(A761),1))</f>
        <v/>
      </c>
    </row>
    <row r="762" customFormat="false" ht="15" hidden="false" customHeight="false" outlineLevel="0" collapsed="false">
      <c r="A762" s="26"/>
      <c r="B762" s="4"/>
      <c r="C762" s="27" t="str">
        <f aca="false">IF(B762="","",IFERROR(INDEX(Listas!$C$5:$C$40,MATCH(B762,Listas!$B$5:$B$40,0)),"?"))</f>
        <v/>
      </c>
      <c r="D762" s="4"/>
      <c r="E762" s="4"/>
      <c r="F762" s="4"/>
      <c r="G762" s="28"/>
      <c r="H762" s="29" t="str">
        <f aca="false">IF(A762="","",DATE(YEAR(A762),MONTH(A762),1))</f>
        <v/>
      </c>
    </row>
    <row r="763" customFormat="false" ht="15" hidden="false" customHeight="false" outlineLevel="0" collapsed="false">
      <c r="A763" s="26"/>
      <c r="B763" s="4"/>
      <c r="C763" s="27" t="str">
        <f aca="false">IF(B763="","",IFERROR(INDEX(Listas!$C$5:$C$40,MATCH(B763,Listas!$B$5:$B$40,0)),"?"))</f>
        <v/>
      </c>
      <c r="D763" s="4"/>
      <c r="E763" s="4"/>
      <c r="F763" s="4"/>
      <c r="G763" s="28"/>
      <c r="H763" s="29" t="str">
        <f aca="false">IF(A763="","",DATE(YEAR(A763),MONTH(A763),1))</f>
        <v/>
      </c>
    </row>
    <row r="764" customFormat="false" ht="15" hidden="false" customHeight="false" outlineLevel="0" collapsed="false">
      <c r="A764" s="26"/>
      <c r="B764" s="4"/>
      <c r="C764" s="27" t="str">
        <f aca="false">IF(B764="","",IFERROR(INDEX(Listas!$C$5:$C$40,MATCH(B764,Listas!$B$5:$B$40,0)),"?"))</f>
        <v/>
      </c>
      <c r="D764" s="4"/>
      <c r="E764" s="4"/>
      <c r="F764" s="4"/>
      <c r="G764" s="28"/>
      <c r="H764" s="29" t="str">
        <f aca="false">IF(A764="","",DATE(YEAR(A764),MONTH(A764),1))</f>
        <v/>
      </c>
    </row>
    <row r="765" customFormat="false" ht="15" hidden="false" customHeight="false" outlineLevel="0" collapsed="false">
      <c r="A765" s="26"/>
      <c r="B765" s="4"/>
      <c r="C765" s="27" t="str">
        <f aca="false">IF(B765="","",IFERROR(INDEX(Listas!$C$5:$C$40,MATCH(B765,Listas!$B$5:$B$40,0)),"?"))</f>
        <v/>
      </c>
      <c r="D765" s="4"/>
      <c r="E765" s="4"/>
      <c r="F765" s="4"/>
      <c r="G765" s="28"/>
      <c r="H765" s="29" t="str">
        <f aca="false">IF(A765="","",DATE(YEAR(A765),MONTH(A765),1))</f>
        <v/>
      </c>
    </row>
    <row r="766" customFormat="false" ht="15" hidden="false" customHeight="false" outlineLevel="0" collapsed="false">
      <c r="A766" s="26"/>
      <c r="B766" s="4"/>
      <c r="C766" s="27" t="str">
        <f aca="false">IF(B766="","",IFERROR(INDEX(Listas!$C$5:$C$40,MATCH(B766,Listas!$B$5:$B$40,0)),"?"))</f>
        <v/>
      </c>
      <c r="D766" s="4"/>
      <c r="E766" s="4"/>
      <c r="F766" s="4"/>
      <c r="G766" s="28"/>
      <c r="H766" s="29" t="str">
        <f aca="false">IF(A766="","",DATE(YEAR(A766),MONTH(A766),1))</f>
        <v/>
      </c>
    </row>
    <row r="767" customFormat="false" ht="15" hidden="false" customHeight="false" outlineLevel="0" collapsed="false">
      <c r="A767" s="26"/>
      <c r="B767" s="4"/>
      <c r="C767" s="27" t="str">
        <f aca="false">IF(B767="","",IFERROR(INDEX(Listas!$C$5:$C$40,MATCH(B767,Listas!$B$5:$B$40,0)),"?"))</f>
        <v/>
      </c>
      <c r="D767" s="4"/>
      <c r="E767" s="4"/>
      <c r="F767" s="4"/>
      <c r="G767" s="28"/>
      <c r="H767" s="29" t="str">
        <f aca="false">IF(A767="","",DATE(YEAR(A767),MONTH(A767),1))</f>
        <v/>
      </c>
    </row>
    <row r="768" customFormat="false" ht="15" hidden="false" customHeight="false" outlineLevel="0" collapsed="false">
      <c r="A768" s="26"/>
      <c r="B768" s="4"/>
      <c r="C768" s="27" t="str">
        <f aca="false">IF(B768="","",IFERROR(INDEX(Listas!$C$5:$C$40,MATCH(B768,Listas!$B$5:$B$40,0)),"?"))</f>
        <v/>
      </c>
      <c r="D768" s="4"/>
      <c r="E768" s="4"/>
      <c r="F768" s="4"/>
      <c r="G768" s="28"/>
      <c r="H768" s="29" t="str">
        <f aca="false">IF(A768="","",DATE(YEAR(A768),MONTH(A768),1))</f>
        <v/>
      </c>
    </row>
    <row r="769" customFormat="false" ht="15" hidden="false" customHeight="false" outlineLevel="0" collapsed="false">
      <c r="A769" s="26"/>
      <c r="B769" s="4"/>
      <c r="C769" s="27" t="str">
        <f aca="false">IF(B769="","",IFERROR(INDEX(Listas!$C$5:$C$40,MATCH(B769,Listas!$B$5:$B$40,0)),"?"))</f>
        <v/>
      </c>
      <c r="D769" s="4"/>
      <c r="E769" s="4"/>
      <c r="F769" s="4"/>
      <c r="G769" s="28"/>
      <c r="H769" s="29" t="str">
        <f aca="false">IF(A769="","",DATE(YEAR(A769),MONTH(A769),1))</f>
        <v/>
      </c>
    </row>
    <row r="770" customFormat="false" ht="15" hidden="false" customHeight="false" outlineLevel="0" collapsed="false">
      <c r="A770" s="26"/>
      <c r="B770" s="4"/>
      <c r="C770" s="27" t="str">
        <f aca="false">IF(B770="","",IFERROR(INDEX(Listas!$C$5:$C$40,MATCH(B770,Listas!$B$5:$B$40,0)),"?"))</f>
        <v/>
      </c>
      <c r="D770" s="4"/>
      <c r="E770" s="4"/>
      <c r="F770" s="4"/>
      <c r="G770" s="28"/>
      <c r="H770" s="29" t="str">
        <f aca="false">IF(A770="","",DATE(YEAR(A770),MONTH(A770),1))</f>
        <v/>
      </c>
    </row>
    <row r="771" customFormat="false" ht="15" hidden="false" customHeight="false" outlineLevel="0" collapsed="false">
      <c r="A771" s="26"/>
      <c r="B771" s="4"/>
      <c r="C771" s="27" t="str">
        <f aca="false">IF(B771="","",IFERROR(INDEX(Listas!$C$5:$C$40,MATCH(B771,Listas!$B$5:$B$40,0)),"?"))</f>
        <v/>
      </c>
      <c r="D771" s="4"/>
      <c r="E771" s="4"/>
      <c r="F771" s="4"/>
      <c r="G771" s="28"/>
      <c r="H771" s="29" t="str">
        <f aca="false">IF(A771="","",DATE(YEAR(A771),MONTH(A771),1))</f>
        <v/>
      </c>
    </row>
    <row r="772" customFormat="false" ht="15" hidden="false" customHeight="false" outlineLevel="0" collapsed="false">
      <c r="A772" s="26"/>
      <c r="B772" s="4"/>
      <c r="C772" s="27" t="str">
        <f aca="false">IF(B772="","",IFERROR(INDEX(Listas!$C$5:$C$40,MATCH(B772,Listas!$B$5:$B$40,0)),"?"))</f>
        <v/>
      </c>
      <c r="D772" s="4"/>
      <c r="E772" s="4"/>
      <c r="F772" s="4"/>
      <c r="G772" s="28"/>
      <c r="H772" s="29" t="str">
        <f aca="false">IF(A772="","",DATE(YEAR(A772),MONTH(A772),1))</f>
        <v/>
      </c>
    </row>
    <row r="773" customFormat="false" ht="15" hidden="false" customHeight="false" outlineLevel="0" collapsed="false">
      <c r="A773" s="26"/>
      <c r="B773" s="4"/>
      <c r="C773" s="27" t="str">
        <f aca="false">IF(B773="","",IFERROR(INDEX(Listas!$C$5:$C$40,MATCH(B773,Listas!$B$5:$B$40,0)),"?"))</f>
        <v/>
      </c>
      <c r="D773" s="4"/>
      <c r="E773" s="4"/>
      <c r="F773" s="4"/>
      <c r="G773" s="28"/>
      <c r="H773" s="29" t="str">
        <f aca="false">IF(A773="","",DATE(YEAR(A773),MONTH(A773),1))</f>
        <v/>
      </c>
    </row>
    <row r="774" customFormat="false" ht="15" hidden="false" customHeight="false" outlineLevel="0" collapsed="false">
      <c r="A774" s="26"/>
      <c r="B774" s="4"/>
      <c r="C774" s="27" t="str">
        <f aca="false">IF(B774="","",IFERROR(INDEX(Listas!$C$5:$C$40,MATCH(B774,Listas!$B$5:$B$40,0)),"?"))</f>
        <v/>
      </c>
      <c r="D774" s="4"/>
      <c r="E774" s="4"/>
      <c r="F774" s="4"/>
      <c r="G774" s="28"/>
      <c r="H774" s="29" t="str">
        <f aca="false">IF(A774="","",DATE(YEAR(A774),MONTH(A774),1))</f>
        <v/>
      </c>
    </row>
    <row r="775" customFormat="false" ht="15" hidden="false" customHeight="false" outlineLevel="0" collapsed="false">
      <c r="A775" s="26"/>
      <c r="B775" s="4"/>
      <c r="C775" s="27" t="str">
        <f aca="false">IF(B775="","",IFERROR(INDEX(Listas!$C$5:$C$40,MATCH(B775,Listas!$B$5:$B$40,0)),"?"))</f>
        <v/>
      </c>
      <c r="D775" s="4"/>
      <c r="E775" s="4"/>
      <c r="F775" s="4"/>
      <c r="G775" s="28"/>
      <c r="H775" s="29" t="str">
        <f aca="false">IF(A775="","",DATE(YEAR(A775),MONTH(A775),1))</f>
        <v/>
      </c>
    </row>
    <row r="776" customFormat="false" ht="15" hidden="false" customHeight="false" outlineLevel="0" collapsed="false">
      <c r="A776" s="26"/>
      <c r="B776" s="4"/>
      <c r="C776" s="27" t="str">
        <f aca="false">IF(B776="","",IFERROR(INDEX(Listas!$C$5:$C$40,MATCH(B776,Listas!$B$5:$B$40,0)),"?"))</f>
        <v/>
      </c>
      <c r="D776" s="4"/>
      <c r="E776" s="4"/>
      <c r="F776" s="4"/>
      <c r="G776" s="28"/>
      <c r="H776" s="29" t="str">
        <f aca="false">IF(A776="","",DATE(YEAR(A776),MONTH(A776),1))</f>
        <v/>
      </c>
    </row>
    <row r="777" customFormat="false" ht="15" hidden="false" customHeight="false" outlineLevel="0" collapsed="false">
      <c r="A777" s="26"/>
      <c r="B777" s="4"/>
      <c r="C777" s="27" t="str">
        <f aca="false">IF(B777="","",IFERROR(INDEX(Listas!$C$5:$C$40,MATCH(B777,Listas!$B$5:$B$40,0)),"?"))</f>
        <v/>
      </c>
      <c r="D777" s="4"/>
      <c r="E777" s="4"/>
      <c r="F777" s="4"/>
      <c r="G777" s="28"/>
      <c r="H777" s="29" t="str">
        <f aca="false">IF(A777="","",DATE(YEAR(A777),MONTH(A777),1))</f>
        <v/>
      </c>
    </row>
    <row r="778" customFormat="false" ht="15" hidden="false" customHeight="false" outlineLevel="0" collapsed="false">
      <c r="A778" s="26"/>
      <c r="B778" s="4"/>
      <c r="C778" s="27" t="str">
        <f aca="false">IF(B778="","",IFERROR(INDEX(Listas!$C$5:$C$40,MATCH(B778,Listas!$B$5:$B$40,0)),"?"))</f>
        <v/>
      </c>
      <c r="D778" s="4"/>
      <c r="E778" s="4"/>
      <c r="F778" s="4"/>
      <c r="G778" s="28"/>
      <c r="H778" s="29" t="str">
        <f aca="false">IF(A778="","",DATE(YEAR(A778),MONTH(A778),1))</f>
        <v/>
      </c>
    </row>
    <row r="779" customFormat="false" ht="15" hidden="false" customHeight="false" outlineLevel="0" collapsed="false">
      <c r="A779" s="26"/>
      <c r="B779" s="4"/>
      <c r="C779" s="27" t="str">
        <f aca="false">IF(B779="","",IFERROR(INDEX(Listas!$C$5:$C$40,MATCH(B779,Listas!$B$5:$B$40,0)),"?"))</f>
        <v/>
      </c>
      <c r="D779" s="4"/>
      <c r="E779" s="4"/>
      <c r="F779" s="4"/>
      <c r="G779" s="28"/>
      <c r="H779" s="29" t="str">
        <f aca="false">IF(A779="","",DATE(YEAR(A779),MONTH(A779),1))</f>
        <v/>
      </c>
    </row>
    <row r="780" customFormat="false" ht="15" hidden="false" customHeight="false" outlineLevel="0" collapsed="false">
      <c r="A780" s="26"/>
      <c r="B780" s="4"/>
      <c r="C780" s="27" t="str">
        <f aca="false">IF(B780="","",IFERROR(INDEX(Listas!$C$5:$C$40,MATCH(B780,Listas!$B$5:$B$40,0)),"?"))</f>
        <v/>
      </c>
      <c r="D780" s="4"/>
      <c r="E780" s="4"/>
      <c r="F780" s="4"/>
      <c r="G780" s="28"/>
      <c r="H780" s="29" t="str">
        <f aca="false">IF(A780="","",DATE(YEAR(A780),MONTH(A780),1))</f>
        <v/>
      </c>
    </row>
    <row r="781" customFormat="false" ht="15" hidden="false" customHeight="false" outlineLevel="0" collapsed="false">
      <c r="A781" s="26"/>
      <c r="B781" s="4"/>
      <c r="C781" s="27" t="str">
        <f aca="false">IF(B781="","",IFERROR(INDEX(Listas!$C$5:$C$40,MATCH(B781,Listas!$B$5:$B$40,0)),"?"))</f>
        <v/>
      </c>
      <c r="D781" s="4"/>
      <c r="E781" s="4"/>
      <c r="F781" s="4"/>
      <c r="G781" s="28"/>
      <c r="H781" s="29" t="str">
        <f aca="false">IF(A781="","",DATE(YEAR(A781),MONTH(A781),1))</f>
        <v/>
      </c>
    </row>
    <row r="782" customFormat="false" ht="15" hidden="false" customHeight="false" outlineLevel="0" collapsed="false">
      <c r="A782" s="26"/>
      <c r="B782" s="4"/>
      <c r="C782" s="27" t="str">
        <f aca="false">IF(B782="","",IFERROR(INDEX(Listas!$C$5:$C$40,MATCH(B782,Listas!$B$5:$B$40,0)),"?"))</f>
        <v/>
      </c>
      <c r="D782" s="4"/>
      <c r="E782" s="4"/>
      <c r="F782" s="4"/>
      <c r="G782" s="28"/>
      <c r="H782" s="29" t="str">
        <f aca="false">IF(A782="","",DATE(YEAR(A782),MONTH(A782),1))</f>
        <v/>
      </c>
    </row>
    <row r="783" customFormat="false" ht="15" hidden="false" customHeight="false" outlineLevel="0" collapsed="false">
      <c r="A783" s="26"/>
      <c r="B783" s="4"/>
      <c r="C783" s="27" t="str">
        <f aca="false">IF(B783="","",IFERROR(INDEX(Listas!$C$5:$C$40,MATCH(B783,Listas!$B$5:$B$40,0)),"?"))</f>
        <v/>
      </c>
      <c r="D783" s="4"/>
      <c r="E783" s="4"/>
      <c r="F783" s="4"/>
      <c r="G783" s="28"/>
      <c r="H783" s="29" t="str">
        <f aca="false">IF(A783="","",DATE(YEAR(A783),MONTH(A783),1))</f>
        <v/>
      </c>
    </row>
    <row r="784" customFormat="false" ht="15" hidden="false" customHeight="false" outlineLevel="0" collapsed="false">
      <c r="A784" s="26"/>
      <c r="B784" s="4"/>
      <c r="C784" s="27" t="str">
        <f aca="false">IF(B784="","",IFERROR(INDEX(Listas!$C$5:$C$40,MATCH(B784,Listas!$B$5:$B$40,0)),"?"))</f>
        <v/>
      </c>
      <c r="D784" s="4"/>
      <c r="E784" s="4"/>
      <c r="F784" s="4"/>
      <c r="G784" s="28"/>
      <c r="H784" s="29" t="str">
        <f aca="false">IF(A784="","",DATE(YEAR(A784),MONTH(A784),1))</f>
        <v/>
      </c>
    </row>
    <row r="785" customFormat="false" ht="15" hidden="false" customHeight="false" outlineLevel="0" collapsed="false">
      <c r="A785" s="26"/>
      <c r="B785" s="4"/>
      <c r="C785" s="27" t="str">
        <f aca="false">IF(B785="","",IFERROR(INDEX(Listas!$C$5:$C$40,MATCH(B785,Listas!$B$5:$B$40,0)),"?"))</f>
        <v/>
      </c>
      <c r="D785" s="4"/>
      <c r="E785" s="4"/>
      <c r="F785" s="4"/>
      <c r="G785" s="28"/>
      <c r="H785" s="29" t="str">
        <f aca="false">IF(A785="","",DATE(YEAR(A785),MONTH(A785),1))</f>
        <v/>
      </c>
    </row>
    <row r="786" customFormat="false" ht="15" hidden="false" customHeight="false" outlineLevel="0" collapsed="false">
      <c r="A786" s="26"/>
      <c r="B786" s="4"/>
      <c r="C786" s="27" t="str">
        <f aca="false">IF(B786="","",IFERROR(INDEX(Listas!$C$5:$C$40,MATCH(B786,Listas!$B$5:$B$40,0)),"?"))</f>
        <v/>
      </c>
      <c r="D786" s="4"/>
      <c r="E786" s="4"/>
      <c r="F786" s="4"/>
      <c r="G786" s="28"/>
      <c r="H786" s="29" t="str">
        <f aca="false">IF(A786="","",DATE(YEAR(A786),MONTH(A786),1))</f>
        <v/>
      </c>
    </row>
    <row r="787" customFormat="false" ht="15" hidden="false" customHeight="false" outlineLevel="0" collapsed="false">
      <c r="A787" s="26"/>
      <c r="B787" s="4"/>
      <c r="C787" s="27" t="str">
        <f aca="false">IF(B787="","",IFERROR(INDEX(Listas!$C$5:$C$40,MATCH(B787,Listas!$B$5:$B$40,0)),"?"))</f>
        <v/>
      </c>
      <c r="D787" s="4"/>
      <c r="E787" s="4"/>
      <c r="F787" s="4"/>
      <c r="G787" s="28"/>
      <c r="H787" s="29" t="str">
        <f aca="false">IF(A787="","",DATE(YEAR(A787),MONTH(A787),1))</f>
        <v/>
      </c>
    </row>
    <row r="788" customFormat="false" ht="15" hidden="false" customHeight="false" outlineLevel="0" collapsed="false">
      <c r="A788" s="26"/>
      <c r="B788" s="4"/>
      <c r="C788" s="27" t="str">
        <f aca="false">IF(B788="","",IFERROR(INDEX(Listas!$C$5:$C$40,MATCH(B788,Listas!$B$5:$B$40,0)),"?"))</f>
        <v/>
      </c>
      <c r="D788" s="4"/>
      <c r="E788" s="4"/>
      <c r="F788" s="4"/>
      <c r="G788" s="28"/>
      <c r="H788" s="29" t="str">
        <f aca="false">IF(A788="","",DATE(YEAR(A788),MONTH(A788),1))</f>
        <v/>
      </c>
    </row>
    <row r="789" customFormat="false" ht="15" hidden="false" customHeight="false" outlineLevel="0" collapsed="false">
      <c r="A789" s="26"/>
      <c r="B789" s="4"/>
      <c r="C789" s="27" t="str">
        <f aca="false">IF(B789="","",IFERROR(INDEX(Listas!$C$5:$C$40,MATCH(B789,Listas!$B$5:$B$40,0)),"?"))</f>
        <v/>
      </c>
      <c r="D789" s="4"/>
      <c r="E789" s="4"/>
      <c r="F789" s="4"/>
      <c r="G789" s="28"/>
      <c r="H789" s="29" t="str">
        <f aca="false">IF(A789="","",DATE(YEAR(A789),MONTH(A789),1))</f>
        <v/>
      </c>
    </row>
    <row r="790" customFormat="false" ht="15" hidden="false" customHeight="false" outlineLevel="0" collapsed="false">
      <c r="A790" s="26"/>
      <c r="B790" s="4"/>
      <c r="C790" s="27" t="str">
        <f aca="false">IF(B790="","",IFERROR(INDEX(Listas!$C$5:$C$40,MATCH(B790,Listas!$B$5:$B$40,0)),"?"))</f>
        <v/>
      </c>
      <c r="D790" s="4"/>
      <c r="E790" s="4"/>
      <c r="F790" s="4"/>
      <c r="G790" s="28"/>
      <c r="H790" s="29" t="str">
        <f aca="false">IF(A790="","",DATE(YEAR(A790),MONTH(A790),1))</f>
        <v/>
      </c>
    </row>
    <row r="791" customFormat="false" ht="15" hidden="false" customHeight="false" outlineLevel="0" collapsed="false">
      <c r="A791" s="26"/>
      <c r="B791" s="4"/>
      <c r="C791" s="27" t="str">
        <f aca="false">IF(B791="","",IFERROR(INDEX(Listas!$C$5:$C$40,MATCH(B791,Listas!$B$5:$B$40,0)),"?"))</f>
        <v/>
      </c>
      <c r="D791" s="4"/>
      <c r="E791" s="4"/>
      <c r="F791" s="4"/>
      <c r="G791" s="28"/>
      <c r="H791" s="29" t="str">
        <f aca="false">IF(A791="","",DATE(YEAR(A791),MONTH(A791),1))</f>
        <v/>
      </c>
    </row>
    <row r="792" customFormat="false" ht="15" hidden="false" customHeight="false" outlineLevel="0" collapsed="false">
      <c r="A792" s="26"/>
      <c r="B792" s="4"/>
      <c r="C792" s="27" t="str">
        <f aca="false">IF(B792="","",IFERROR(INDEX(Listas!$C$5:$C$40,MATCH(B792,Listas!$B$5:$B$40,0)),"?"))</f>
        <v/>
      </c>
      <c r="D792" s="4"/>
      <c r="E792" s="4"/>
      <c r="F792" s="4"/>
      <c r="G792" s="28"/>
      <c r="H792" s="29" t="str">
        <f aca="false">IF(A792="","",DATE(YEAR(A792),MONTH(A792),1))</f>
        <v/>
      </c>
    </row>
    <row r="793" customFormat="false" ht="15" hidden="false" customHeight="false" outlineLevel="0" collapsed="false">
      <c r="A793" s="26"/>
      <c r="B793" s="4"/>
      <c r="C793" s="27" t="str">
        <f aca="false">IF(B793="","",IFERROR(INDEX(Listas!$C$5:$C$40,MATCH(B793,Listas!$B$5:$B$40,0)),"?"))</f>
        <v/>
      </c>
      <c r="D793" s="4"/>
      <c r="E793" s="4"/>
      <c r="F793" s="4"/>
      <c r="G793" s="28"/>
      <c r="H793" s="29" t="str">
        <f aca="false">IF(A793="","",DATE(YEAR(A793),MONTH(A793),1))</f>
        <v/>
      </c>
    </row>
    <row r="794" customFormat="false" ht="15" hidden="false" customHeight="false" outlineLevel="0" collapsed="false">
      <c r="A794" s="26"/>
      <c r="B794" s="4"/>
      <c r="C794" s="27" t="str">
        <f aca="false">IF(B794="","",IFERROR(INDEX(Listas!$C$5:$C$40,MATCH(B794,Listas!$B$5:$B$40,0)),"?"))</f>
        <v/>
      </c>
      <c r="D794" s="4"/>
      <c r="E794" s="4"/>
      <c r="F794" s="4"/>
      <c r="G794" s="28"/>
      <c r="H794" s="29" t="str">
        <f aca="false">IF(A794="","",DATE(YEAR(A794),MONTH(A794),1))</f>
        <v/>
      </c>
    </row>
    <row r="795" customFormat="false" ht="15" hidden="false" customHeight="false" outlineLevel="0" collapsed="false">
      <c r="A795" s="26"/>
      <c r="B795" s="4"/>
      <c r="C795" s="27" t="str">
        <f aca="false">IF(B795="","",IFERROR(INDEX(Listas!$C$5:$C$40,MATCH(B795,Listas!$B$5:$B$40,0)),"?"))</f>
        <v/>
      </c>
      <c r="D795" s="4"/>
      <c r="E795" s="4"/>
      <c r="F795" s="4"/>
      <c r="G795" s="28"/>
      <c r="H795" s="29" t="str">
        <f aca="false">IF(A795="","",DATE(YEAR(A795),MONTH(A795),1))</f>
        <v/>
      </c>
    </row>
    <row r="796" customFormat="false" ht="15" hidden="false" customHeight="false" outlineLevel="0" collapsed="false">
      <c r="A796" s="26"/>
      <c r="B796" s="4"/>
      <c r="C796" s="27" t="str">
        <f aca="false">IF(B796="","",IFERROR(INDEX(Listas!$C$5:$C$40,MATCH(B796,Listas!$B$5:$B$40,0)),"?"))</f>
        <v/>
      </c>
      <c r="D796" s="4"/>
      <c r="E796" s="4"/>
      <c r="F796" s="4"/>
      <c r="G796" s="28"/>
      <c r="H796" s="29" t="str">
        <f aca="false">IF(A796="","",DATE(YEAR(A796),MONTH(A796),1))</f>
        <v/>
      </c>
    </row>
    <row r="797" customFormat="false" ht="15" hidden="false" customHeight="false" outlineLevel="0" collapsed="false">
      <c r="A797" s="26"/>
      <c r="B797" s="4"/>
      <c r="C797" s="27" t="str">
        <f aca="false">IF(B797="","",IFERROR(INDEX(Listas!$C$5:$C$40,MATCH(B797,Listas!$B$5:$B$40,0)),"?"))</f>
        <v/>
      </c>
      <c r="D797" s="4"/>
      <c r="E797" s="4"/>
      <c r="F797" s="4"/>
      <c r="G797" s="28"/>
      <c r="H797" s="29" t="str">
        <f aca="false">IF(A797="","",DATE(YEAR(A797),MONTH(A797),1))</f>
        <v/>
      </c>
    </row>
    <row r="798" customFormat="false" ht="15" hidden="false" customHeight="false" outlineLevel="0" collapsed="false">
      <c r="A798" s="26"/>
      <c r="B798" s="4"/>
      <c r="C798" s="27" t="str">
        <f aca="false">IF(B798="","",IFERROR(INDEX(Listas!$C$5:$C$40,MATCH(B798,Listas!$B$5:$B$40,0)),"?"))</f>
        <v/>
      </c>
      <c r="D798" s="4"/>
      <c r="E798" s="4"/>
      <c r="F798" s="4"/>
      <c r="G798" s="28"/>
      <c r="H798" s="29" t="str">
        <f aca="false">IF(A798="","",DATE(YEAR(A798),MONTH(A798),1))</f>
        <v/>
      </c>
    </row>
    <row r="799" customFormat="false" ht="15" hidden="false" customHeight="false" outlineLevel="0" collapsed="false">
      <c r="A799" s="26"/>
      <c r="B799" s="4"/>
      <c r="C799" s="27" t="str">
        <f aca="false">IF(B799="","",IFERROR(INDEX(Listas!$C$5:$C$40,MATCH(B799,Listas!$B$5:$B$40,0)),"?"))</f>
        <v/>
      </c>
      <c r="D799" s="4"/>
      <c r="E799" s="4"/>
      <c r="F799" s="4"/>
      <c r="G799" s="28"/>
      <c r="H799" s="29" t="str">
        <f aca="false">IF(A799="","",DATE(YEAR(A799),MONTH(A799),1))</f>
        <v/>
      </c>
    </row>
    <row r="800" customFormat="false" ht="15" hidden="false" customHeight="false" outlineLevel="0" collapsed="false">
      <c r="A800" s="26"/>
      <c r="B800" s="4"/>
      <c r="C800" s="27" t="str">
        <f aca="false">IF(B800="","",IFERROR(INDEX(Listas!$C$5:$C$40,MATCH(B800,Listas!$B$5:$B$40,0)),"?"))</f>
        <v/>
      </c>
      <c r="D800" s="4"/>
      <c r="E800" s="4"/>
      <c r="F800" s="4"/>
      <c r="G800" s="28"/>
      <c r="H800" s="29" t="str">
        <f aca="false">IF(A800="","",DATE(YEAR(A800),MONTH(A800),1))</f>
        <v/>
      </c>
    </row>
    <row r="801" customFormat="false" ht="15" hidden="false" customHeight="false" outlineLevel="0" collapsed="false">
      <c r="A801" s="26"/>
      <c r="B801" s="4"/>
      <c r="C801" s="27" t="str">
        <f aca="false">IF(B801="","",IFERROR(INDEX(Listas!$C$5:$C$40,MATCH(B801,Listas!$B$5:$B$40,0)),"?"))</f>
        <v/>
      </c>
      <c r="D801" s="4"/>
      <c r="E801" s="4"/>
      <c r="F801" s="4"/>
      <c r="G801" s="28"/>
      <c r="H801" s="29" t="str">
        <f aca="false">IF(A801="","",DATE(YEAR(A801),MONTH(A801),1))</f>
        <v/>
      </c>
    </row>
    <row r="802" customFormat="false" ht="15" hidden="false" customHeight="false" outlineLevel="0" collapsed="false">
      <c r="A802" s="26"/>
      <c r="B802" s="4"/>
      <c r="C802" s="27" t="str">
        <f aca="false">IF(B802="","",IFERROR(INDEX(Listas!$C$5:$C$40,MATCH(B802,Listas!$B$5:$B$40,0)),"?"))</f>
        <v/>
      </c>
      <c r="D802" s="4"/>
      <c r="E802" s="4"/>
      <c r="F802" s="4"/>
      <c r="G802" s="28"/>
      <c r="H802" s="29" t="str">
        <f aca="false">IF(A802="","",DATE(YEAR(A802),MONTH(A802),1))</f>
        <v/>
      </c>
    </row>
    <row r="803" customFormat="false" ht="15" hidden="false" customHeight="false" outlineLevel="0" collapsed="false">
      <c r="A803" s="26"/>
      <c r="B803" s="4"/>
      <c r="C803" s="27" t="str">
        <f aca="false">IF(B803="","",IFERROR(INDEX(Listas!$C$5:$C$40,MATCH(B803,Listas!$B$5:$B$40,0)),"?"))</f>
        <v/>
      </c>
      <c r="D803" s="4"/>
      <c r="E803" s="4"/>
      <c r="F803" s="4"/>
      <c r="G803" s="28"/>
      <c r="H803" s="29" t="str">
        <f aca="false">IF(A803="","",DATE(YEAR(A803),MONTH(A803),1))</f>
        <v/>
      </c>
    </row>
    <row r="804" customFormat="false" ht="15" hidden="false" customHeight="false" outlineLevel="0" collapsed="false">
      <c r="A804" s="26"/>
      <c r="B804" s="4"/>
      <c r="C804" s="27" t="str">
        <f aca="false">IF(B804="","",IFERROR(INDEX(Listas!$C$5:$C$40,MATCH(B804,Listas!$B$5:$B$40,0)),"?"))</f>
        <v/>
      </c>
      <c r="D804" s="4"/>
      <c r="E804" s="4"/>
      <c r="F804" s="4"/>
      <c r="G804" s="28"/>
      <c r="H804" s="29" t="str">
        <f aca="false">IF(A804="","",DATE(YEAR(A804),MONTH(A804),1))</f>
        <v/>
      </c>
    </row>
    <row r="805" customFormat="false" ht="15" hidden="false" customHeight="false" outlineLevel="0" collapsed="false">
      <c r="A805" s="26"/>
      <c r="B805" s="4"/>
      <c r="C805" s="27" t="str">
        <f aca="false">IF(B805="","",IFERROR(INDEX(Listas!$C$5:$C$40,MATCH(B805,Listas!$B$5:$B$40,0)),"?"))</f>
        <v/>
      </c>
      <c r="D805" s="4"/>
      <c r="E805" s="4"/>
      <c r="F805" s="4"/>
      <c r="G805" s="28"/>
      <c r="H805" s="29" t="str">
        <f aca="false">IF(A805="","",DATE(YEAR(A805),MONTH(A805),1))</f>
        <v/>
      </c>
    </row>
    <row r="806" customFormat="false" ht="15" hidden="false" customHeight="false" outlineLevel="0" collapsed="false">
      <c r="A806" s="26"/>
      <c r="B806" s="4"/>
      <c r="C806" s="27" t="str">
        <f aca="false">IF(B806="","",IFERROR(INDEX(Listas!$C$5:$C$40,MATCH(B806,Listas!$B$5:$B$40,0)),"?"))</f>
        <v/>
      </c>
      <c r="D806" s="4"/>
      <c r="E806" s="4"/>
      <c r="F806" s="4"/>
      <c r="G806" s="28"/>
      <c r="H806" s="29" t="str">
        <f aca="false">IF(A806="","",DATE(YEAR(A806),MONTH(A806),1))</f>
        <v/>
      </c>
    </row>
    <row r="807" customFormat="false" ht="15" hidden="false" customHeight="false" outlineLevel="0" collapsed="false">
      <c r="A807" s="26"/>
      <c r="B807" s="4"/>
      <c r="C807" s="27" t="str">
        <f aca="false">IF(B807="","",IFERROR(INDEX(Listas!$C$5:$C$40,MATCH(B807,Listas!$B$5:$B$40,0)),"?"))</f>
        <v/>
      </c>
      <c r="D807" s="4"/>
      <c r="E807" s="4"/>
      <c r="F807" s="4"/>
      <c r="G807" s="28"/>
      <c r="H807" s="29" t="str">
        <f aca="false">IF(A807="","",DATE(YEAR(A807),MONTH(A807),1))</f>
        <v/>
      </c>
    </row>
    <row r="808" customFormat="false" ht="15" hidden="false" customHeight="false" outlineLevel="0" collapsed="false">
      <c r="A808" s="26"/>
      <c r="B808" s="4"/>
      <c r="C808" s="27" t="str">
        <f aca="false">IF(B808="","",IFERROR(INDEX(Listas!$C$5:$C$40,MATCH(B808,Listas!$B$5:$B$40,0)),"?"))</f>
        <v/>
      </c>
      <c r="D808" s="4"/>
      <c r="E808" s="4"/>
      <c r="F808" s="4"/>
      <c r="G808" s="28"/>
      <c r="H808" s="29" t="str">
        <f aca="false">IF(A808="","",DATE(YEAR(A808),MONTH(A808),1))</f>
        <v/>
      </c>
    </row>
    <row r="809" customFormat="false" ht="15" hidden="false" customHeight="false" outlineLevel="0" collapsed="false">
      <c r="A809" s="26"/>
      <c r="B809" s="4"/>
      <c r="C809" s="27" t="str">
        <f aca="false">IF(B809="","",IFERROR(INDEX(Listas!$C$5:$C$40,MATCH(B809,Listas!$B$5:$B$40,0)),"?"))</f>
        <v/>
      </c>
      <c r="D809" s="4"/>
      <c r="E809" s="4"/>
      <c r="F809" s="4"/>
      <c r="G809" s="28"/>
      <c r="H809" s="29" t="str">
        <f aca="false">IF(A809="","",DATE(YEAR(A809),MONTH(A809),1))</f>
        <v/>
      </c>
    </row>
    <row r="810" customFormat="false" ht="15" hidden="false" customHeight="false" outlineLevel="0" collapsed="false">
      <c r="A810" s="26"/>
      <c r="B810" s="4"/>
      <c r="C810" s="27" t="str">
        <f aca="false">IF(B810="","",IFERROR(INDEX(Listas!$C$5:$C$40,MATCH(B810,Listas!$B$5:$B$40,0)),"?"))</f>
        <v/>
      </c>
      <c r="D810" s="4"/>
      <c r="E810" s="4"/>
      <c r="F810" s="4"/>
      <c r="G810" s="28"/>
      <c r="H810" s="29" t="str">
        <f aca="false">IF(A810="","",DATE(YEAR(A810),MONTH(A810),1))</f>
        <v/>
      </c>
    </row>
    <row r="811" customFormat="false" ht="15" hidden="false" customHeight="false" outlineLevel="0" collapsed="false">
      <c r="A811" s="26"/>
      <c r="B811" s="4"/>
      <c r="C811" s="27" t="str">
        <f aca="false">IF(B811="","",IFERROR(INDEX(Listas!$C$5:$C$40,MATCH(B811,Listas!$B$5:$B$40,0)),"?"))</f>
        <v/>
      </c>
      <c r="D811" s="4"/>
      <c r="E811" s="4"/>
      <c r="F811" s="4"/>
      <c r="G811" s="28"/>
      <c r="H811" s="29" t="str">
        <f aca="false">IF(A811="","",DATE(YEAR(A811),MONTH(A811),1))</f>
        <v/>
      </c>
    </row>
    <row r="812" customFormat="false" ht="15" hidden="false" customHeight="false" outlineLevel="0" collapsed="false">
      <c r="A812" s="26"/>
      <c r="B812" s="4"/>
      <c r="C812" s="27" t="str">
        <f aca="false">IF(B812="","",IFERROR(INDEX(Listas!$C$5:$C$40,MATCH(B812,Listas!$B$5:$B$40,0)),"?"))</f>
        <v/>
      </c>
      <c r="D812" s="4"/>
      <c r="E812" s="4"/>
      <c r="F812" s="4"/>
      <c r="G812" s="28"/>
      <c r="H812" s="29" t="str">
        <f aca="false">IF(A812="","",DATE(YEAR(A812),MONTH(A812),1))</f>
        <v/>
      </c>
    </row>
    <row r="813" customFormat="false" ht="15" hidden="false" customHeight="false" outlineLevel="0" collapsed="false">
      <c r="A813" s="26"/>
      <c r="B813" s="4"/>
      <c r="C813" s="27" t="str">
        <f aca="false">IF(B813="","",IFERROR(INDEX(Listas!$C$5:$C$40,MATCH(B813,Listas!$B$5:$B$40,0)),"?"))</f>
        <v/>
      </c>
      <c r="D813" s="4"/>
      <c r="E813" s="4"/>
      <c r="F813" s="4"/>
      <c r="G813" s="28"/>
      <c r="H813" s="29" t="str">
        <f aca="false">IF(A813="","",DATE(YEAR(A813),MONTH(A813),1))</f>
        <v/>
      </c>
    </row>
    <row r="814" customFormat="false" ht="15" hidden="false" customHeight="false" outlineLevel="0" collapsed="false">
      <c r="A814" s="26"/>
      <c r="B814" s="4"/>
      <c r="C814" s="27" t="str">
        <f aca="false">IF(B814="","",IFERROR(INDEX(Listas!$C$5:$C$40,MATCH(B814,Listas!$B$5:$B$40,0)),"?"))</f>
        <v/>
      </c>
      <c r="D814" s="4"/>
      <c r="E814" s="4"/>
      <c r="F814" s="4"/>
      <c r="G814" s="28"/>
      <c r="H814" s="29" t="str">
        <f aca="false">IF(A814="","",DATE(YEAR(A814),MONTH(A814),1))</f>
        <v/>
      </c>
    </row>
    <row r="815" customFormat="false" ht="15" hidden="false" customHeight="false" outlineLevel="0" collapsed="false">
      <c r="A815" s="26"/>
      <c r="B815" s="4"/>
      <c r="C815" s="27" t="str">
        <f aca="false">IF(B815="","",IFERROR(INDEX(Listas!$C$5:$C$40,MATCH(B815,Listas!$B$5:$B$40,0)),"?"))</f>
        <v/>
      </c>
      <c r="D815" s="4"/>
      <c r="E815" s="4"/>
      <c r="F815" s="4"/>
      <c r="G815" s="28"/>
      <c r="H815" s="29" t="str">
        <f aca="false">IF(A815="","",DATE(YEAR(A815),MONTH(A815),1))</f>
        <v/>
      </c>
    </row>
    <row r="816" customFormat="false" ht="15" hidden="false" customHeight="false" outlineLevel="0" collapsed="false">
      <c r="A816" s="26"/>
      <c r="B816" s="4"/>
      <c r="C816" s="27" t="str">
        <f aca="false">IF(B816="","",IFERROR(INDEX(Listas!$C$5:$C$40,MATCH(B816,Listas!$B$5:$B$40,0)),"?"))</f>
        <v/>
      </c>
      <c r="D816" s="4"/>
      <c r="E816" s="4"/>
      <c r="F816" s="4"/>
      <c r="G816" s="28"/>
      <c r="H816" s="29" t="str">
        <f aca="false">IF(A816="","",DATE(YEAR(A816),MONTH(A816),1))</f>
        <v/>
      </c>
    </row>
    <row r="817" customFormat="false" ht="15" hidden="false" customHeight="false" outlineLevel="0" collapsed="false">
      <c r="A817" s="26"/>
      <c r="B817" s="4"/>
      <c r="C817" s="27" t="str">
        <f aca="false">IF(B817="","",IFERROR(INDEX(Listas!$C$5:$C$40,MATCH(B817,Listas!$B$5:$B$40,0)),"?"))</f>
        <v/>
      </c>
      <c r="D817" s="4"/>
      <c r="E817" s="4"/>
      <c r="F817" s="4"/>
      <c r="G817" s="28"/>
      <c r="H817" s="29" t="str">
        <f aca="false">IF(A817="","",DATE(YEAR(A817),MONTH(A817),1))</f>
        <v/>
      </c>
    </row>
    <row r="818" customFormat="false" ht="15" hidden="false" customHeight="false" outlineLevel="0" collapsed="false">
      <c r="A818" s="26"/>
      <c r="B818" s="4"/>
      <c r="C818" s="27" t="str">
        <f aca="false">IF(B818="","",IFERROR(INDEX(Listas!$C$5:$C$40,MATCH(B818,Listas!$B$5:$B$40,0)),"?"))</f>
        <v/>
      </c>
      <c r="D818" s="4"/>
      <c r="E818" s="4"/>
      <c r="F818" s="4"/>
      <c r="G818" s="28"/>
      <c r="H818" s="29" t="str">
        <f aca="false">IF(A818="","",DATE(YEAR(A818),MONTH(A818),1))</f>
        <v/>
      </c>
    </row>
    <row r="819" customFormat="false" ht="15" hidden="false" customHeight="false" outlineLevel="0" collapsed="false">
      <c r="A819" s="26"/>
      <c r="B819" s="4"/>
      <c r="C819" s="27" t="str">
        <f aca="false">IF(B819="","",IFERROR(INDEX(Listas!$C$5:$C$40,MATCH(B819,Listas!$B$5:$B$40,0)),"?"))</f>
        <v/>
      </c>
      <c r="D819" s="4"/>
      <c r="E819" s="4"/>
      <c r="F819" s="4"/>
      <c r="G819" s="28"/>
      <c r="H819" s="29" t="str">
        <f aca="false">IF(A819="","",DATE(YEAR(A819),MONTH(A819),1))</f>
        <v/>
      </c>
    </row>
    <row r="820" customFormat="false" ht="15" hidden="false" customHeight="false" outlineLevel="0" collapsed="false">
      <c r="A820" s="26"/>
      <c r="B820" s="4"/>
      <c r="C820" s="27" t="str">
        <f aca="false">IF(B820="","",IFERROR(INDEX(Listas!$C$5:$C$40,MATCH(B820,Listas!$B$5:$B$40,0)),"?"))</f>
        <v/>
      </c>
      <c r="D820" s="4"/>
      <c r="E820" s="4"/>
      <c r="F820" s="4"/>
      <c r="G820" s="28"/>
      <c r="H820" s="29" t="str">
        <f aca="false">IF(A820="","",DATE(YEAR(A820),MONTH(A820),1))</f>
        <v/>
      </c>
    </row>
    <row r="821" customFormat="false" ht="15" hidden="false" customHeight="false" outlineLevel="0" collapsed="false">
      <c r="A821" s="26"/>
      <c r="B821" s="4"/>
      <c r="C821" s="27" t="str">
        <f aca="false">IF(B821="","",IFERROR(INDEX(Listas!$C$5:$C$40,MATCH(B821,Listas!$B$5:$B$40,0)),"?"))</f>
        <v/>
      </c>
      <c r="D821" s="4"/>
      <c r="E821" s="4"/>
      <c r="F821" s="4"/>
      <c r="G821" s="28"/>
      <c r="H821" s="29" t="str">
        <f aca="false">IF(A821="","",DATE(YEAR(A821),MONTH(A821),1))</f>
        <v/>
      </c>
    </row>
    <row r="822" customFormat="false" ht="15" hidden="false" customHeight="false" outlineLevel="0" collapsed="false">
      <c r="A822" s="26"/>
      <c r="B822" s="4"/>
      <c r="C822" s="27" t="str">
        <f aca="false">IF(B822="","",IFERROR(INDEX(Listas!$C$5:$C$40,MATCH(B822,Listas!$B$5:$B$40,0)),"?"))</f>
        <v/>
      </c>
      <c r="D822" s="4"/>
      <c r="E822" s="4"/>
      <c r="F822" s="4"/>
      <c r="G822" s="28"/>
      <c r="H822" s="29" t="str">
        <f aca="false">IF(A822="","",DATE(YEAR(A822),MONTH(A822),1))</f>
        <v/>
      </c>
    </row>
    <row r="823" customFormat="false" ht="15" hidden="false" customHeight="false" outlineLevel="0" collapsed="false">
      <c r="A823" s="26"/>
      <c r="B823" s="4"/>
      <c r="C823" s="27" t="str">
        <f aca="false">IF(B823="","",IFERROR(INDEX(Listas!$C$5:$C$40,MATCH(B823,Listas!$B$5:$B$40,0)),"?"))</f>
        <v/>
      </c>
      <c r="D823" s="4"/>
      <c r="E823" s="4"/>
      <c r="F823" s="4"/>
      <c r="G823" s="28"/>
      <c r="H823" s="29" t="str">
        <f aca="false">IF(A823="","",DATE(YEAR(A823),MONTH(A823),1))</f>
        <v/>
      </c>
    </row>
    <row r="824" customFormat="false" ht="15" hidden="false" customHeight="false" outlineLevel="0" collapsed="false">
      <c r="A824" s="26"/>
      <c r="B824" s="4"/>
      <c r="C824" s="27" t="str">
        <f aca="false">IF(B824="","",IFERROR(INDEX(Listas!$C$5:$C$40,MATCH(B824,Listas!$B$5:$B$40,0)),"?"))</f>
        <v/>
      </c>
      <c r="D824" s="4"/>
      <c r="E824" s="4"/>
      <c r="F824" s="4"/>
      <c r="G824" s="28"/>
      <c r="H824" s="29" t="str">
        <f aca="false">IF(A824="","",DATE(YEAR(A824),MONTH(A824),1))</f>
        <v/>
      </c>
    </row>
    <row r="825" customFormat="false" ht="15" hidden="false" customHeight="false" outlineLevel="0" collapsed="false">
      <c r="A825" s="26"/>
      <c r="B825" s="4"/>
      <c r="C825" s="27" t="str">
        <f aca="false">IF(B825="","",IFERROR(INDEX(Listas!$C$5:$C$40,MATCH(B825,Listas!$B$5:$B$40,0)),"?"))</f>
        <v/>
      </c>
      <c r="D825" s="4"/>
      <c r="E825" s="4"/>
      <c r="F825" s="4"/>
      <c r="G825" s="28"/>
      <c r="H825" s="29" t="str">
        <f aca="false">IF(A825="","",DATE(YEAR(A825),MONTH(A825),1))</f>
        <v/>
      </c>
    </row>
    <row r="826" customFormat="false" ht="15" hidden="false" customHeight="false" outlineLevel="0" collapsed="false">
      <c r="A826" s="26"/>
      <c r="B826" s="4"/>
      <c r="C826" s="27" t="str">
        <f aca="false">IF(B826="","",IFERROR(INDEX(Listas!$C$5:$C$40,MATCH(B826,Listas!$B$5:$B$40,0)),"?"))</f>
        <v/>
      </c>
      <c r="D826" s="4"/>
      <c r="E826" s="4"/>
      <c r="F826" s="4"/>
      <c r="G826" s="28"/>
      <c r="H826" s="29" t="str">
        <f aca="false">IF(A826="","",DATE(YEAR(A826),MONTH(A826),1))</f>
        <v/>
      </c>
    </row>
    <row r="827" customFormat="false" ht="15" hidden="false" customHeight="false" outlineLevel="0" collapsed="false">
      <c r="A827" s="26"/>
      <c r="B827" s="4"/>
      <c r="C827" s="27" t="str">
        <f aca="false">IF(B827="","",IFERROR(INDEX(Listas!$C$5:$C$40,MATCH(B827,Listas!$B$5:$B$40,0)),"?"))</f>
        <v/>
      </c>
      <c r="D827" s="4"/>
      <c r="E827" s="4"/>
      <c r="F827" s="4"/>
      <c r="G827" s="28"/>
      <c r="H827" s="29" t="str">
        <f aca="false">IF(A827="","",DATE(YEAR(A827),MONTH(A827),1))</f>
        <v/>
      </c>
    </row>
    <row r="828" customFormat="false" ht="15" hidden="false" customHeight="false" outlineLevel="0" collapsed="false">
      <c r="A828" s="26"/>
      <c r="B828" s="4"/>
      <c r="C828" s="27" t="str">
        <f aca="false">IF(B828="","",IFERROR(INDEX(Listas!$C$5:$C$40,MATCH(B828,Listas!$B$5:$B$40,0)),"?"))</f>
        <v/>
      </c>
      <c r="D828" s="4"/>
      <c r="E828" s="4"/>
      <c r="F828" s="4"/>
      <c r="G828" s="28"/>
      <c r="H828" s="29" t="str">
        <f aca="false">IF(A828="","",DATE(YEAR(A828),MONTH(A828),1))</f>
        <v/>
      </c>
    </row>
    <row r="829" customFormat="false" ht="15" hidden="false" customHeight="false" outlineLevel="0" collapsed="false">
      <c r="A829" s="26"/>
      <c r="B829" s="4"/>
      <c r="C829" s="27" t="str">
        <f aca="false">IF(B829="","",IFERROR(INDEX(Listas!$C$5:$C$40,MATCH(B829,Listas!$B$5:$B$40,0)),"?"))</f>
        <v/>
      </c>
      <c r="D829" s="4"/>
      <c r="E829" s="4"/>
      <c r="F829" s="4"/>
      <c r="G829" s="28"/>
      <c r="H829" s="29" t="str">
        <f aca="false">IF(A829="","",DATE(YEAR(A829),MONTH(A829),1))</f>
        <v/>
      </c>
    </row>
    <row r="830" customFormat="false" ht="15" hidden="false" customHeight="false" outlineLevel="0" collapsed="false">
      <c r="A830" s="26"/>
      <c r="B830" s="4"/>
      <c r="C830" s="27" t="str">
        <f aca="false">IF(B830="","",IFERROR(INDEX(Listas!$C$5:$C$40,MATCH(B830,Listas!$B$5:$B$40,0)),"?"))</f>
        <v/>
      </c>
      <c r="D830" s="4"/>
      <c r="E830" s="4"/>
      <c r="F830" s="4"/>
      <c r="G830" s="28"/>
      <c r="H830" s="29" t="str">
        <f aca="false">IF(A830="","",DATE(YEAR(A830),MONTH(A830),1))</f>
        <v/>
      </c>
    </row>
    <row r="831" customFormat="false" ht="15" hidden="false" customHeight="false" outlineLevel="0" collapsed="false">
      <c r="A831" s="26"/>
      <c r="B831" s="4"/>
      <c r="C831" s="27" t="str">
        <f aca="false">IF(B831="","",IFERROR(INDEX(Listas!$C$5:$C$40,MATCH(B831,Listas!$B$5:$B$40,0)),"?"))</f>
        <v/>
      </c>
      <c r="D831" s="4"/>
      <c r="E831" s="4"/>
      <c r="F831" s="4"/>
      <c r="G831" s="28"/>
      <c r="H831" s="29" t="str">
        <f aca="false">IF(A831="","",DATE(YEAR(A831),MONTH(A831),1))</f>
        <v/>
      </c>
    </row>
    <row r="832" customFormat="false" ht="15" hidden="false" customHeight="false" outlineLevel="0" collapsed="false">
      <c r="A832" s="26"/>
      <c r="B832" s="4"/>
      <c r="C832" s="27" t="str">
        <f aca="false">IF(B832="","",IFERROR(INDEX(Listas!$C$5:$C$40,MATCH(B832,Listas!$B$5:$B$40,0)),"?"))</f>
        <v/>
      </c>
      <c r="D832" s="4"/>
      <c r="E832" s="4"/>
      <c r="F832" s="4"/>
      <c r="G832" s="28"/>
      <c r="H832" s="29" t="str">
        <f aca="false">IF(A832="","",DATE(YEAR(A832),MONTH(A832),1))</f>
        <v/>
      </c>
    </row>
    <row r="833" customFormat="false" ht="15" hidden="false" customHeight="false" outlineLevel="0" collapsed="false">
      <c r="A833" s="26"/>
      <c r="B833" s="4"/>
      <c r="C833" s="27" t="str">
        <f aca="false">IF(B833="","",IFERROR(INDEX(Listas!$C$5:$C$40,MATCH(B833,Listas!$B$5:$B$40,0)),"?"))</f>
        <v/>
      </c>
      <c r="D833" s="4"/>
      <c r="E833" s="4"/>
      <c r="F833" s="4"/>
      <c r="G833" s="28"/>
      <c r="H833" s="29" t="str">
        <f aca="false">IF(A833="","",DATE(YEAR(A833),MONTH(A833),1))</f>
        <v/>
      </c>
    </row>
    <row r="834" customFormat="false" ht="15" hidden="false" customHeight="false" outlineLevel="0" collapsed="false">
      <c r="A834" s="26"/>
      <c r="B834" s="4"/>
      <c r="C834" s="27" t="str">
        <f aca="false">IF(B834="","",IFERROR(INDEX(Listas!$C$5:$C$40,MATCH(B834,Listas!$B$5:$B$40,0)),"?"))</f>
        <v/>
      </c>
      <c r="D834" s="4"/>
      <c r="E834" s="4"/>
      <c r="F834" s="4"/>
      <c r="G834" s="28"/>
      <c r="H834" s="29" t="str">
        <f aca="false">IF(A834="","",DATE(YEAR(A834),MONTH(A834),1))</f>
        <v/>
      </c>
    </row>
    <row r="835" customFormat="false" ht="15" hidden="false" customHeight="false" outlineLevel="0" collapsed="false">
      <c r="A835" s="26"/>
      <c r="B835" s="4"/>
      <c r="C835" s="27" t="str">
        <f aca="false">IF(B835="","",IFERROR(INDEX(Listas!$C$5:$C$40,MATCH(B835,Listas!$B$5:$B$40,0)),"?"))</f>
        <v/>
      </c>
      <c r="D835" s="4"/>
      <c r="E835" s="4"/>
      <c r="F835" s="4"/>
      <c r="G835" s="28"/>
      <c r="H835" s="29" t="str">
        <f aca="false">IF(A835="","",DATE(YEAR(A835),MONTH(A835),1))</f>
        <v/>
      </c>
    </row>
    <row r="836" customFormat="false" ht="15" hidden="false" customHeight="false" outlineLevel="0" collapsed="false">
      <c r="A836" s="26"/>
      <c r="B836" s="4"/>
      <c r="C836" s="27" t="str">
        <f aca="false">IF(B836="","",IFERROR(INDEX(Listas!$C$5:$C$40,MATCH(B836,Listas!$B$5:$B$40,0)),"?"))</f>
        <v/>
      </c>
      <c r="D836" s="4"/>
      <c r="E836" s="4"/>
      <c r="F836" s="4"/>
      <c r="G836" s="28"/>
      <c r="H836" s="29" t="str">
        <f aca="false">IF(A836="","",DATE(YEAR(A836),MONTH(A836),1))</f>
        <v/>
      </c>
    </row>
    <row r="837" customFormat="false" ht="15" hidden="false" customHeight="false" outlineLevel="0" collapsed="false">
      <c r="A837" s="26"/>
      <c r="B837" s="4"/>
      <c r="C837" s="27" t="str">
        <f aca="false">IF(B837="","",IFERROR(INDEX(Listas!$C$5:$C$40,MATCH(B837,Listas!$B$5:$B$40,0)),"?"))</f>
        <v/>
      </c>
      <c r="D837" s="4"/>
      <c r="E837" s="4"/>
      <c r="F837" s="4"/>
      <c r="G837" s="28"/>
      <c r="H837" s="29" t="str">
        <f aca="false">IF(A837="","",DATE(YEAR(A837),MONTH(A837),1))</f>
        <v/>
      </c>
    </row>
    <row r="838" customFormat="false" ht="15" hidden="false" customHeight="false" outlineLevel="0" collapsed="false">
      <c r="A838" s="26"/>
      <c r="B838" s="4"/>
      <c r="C838" s="27" t="str">
        <f aca="false">IF(B838="","",IFERROR(INDEX(Listas!$C$5:$C$40,MATCH(B838,Listas!$B$5:$B$40,0)),"?"))</f>
        <v/>
      </c>
      <c r="D838" s="4"/>
      <c r="E838" s="4"/>
      <c r="F838" s="4"/>
      <c r="G838" s="28"/>
      <c r="H838" s="29" t="str">
        <f aca="false">IF(A838="","",DATE(YEAR(A838),MONTH(A838),1))</f>
        <v/>
      </c>
    </row>
    <row r="839" customFormat="false" ht="15" hidden="false" customHeight="false" outlineLevel="0" collapsed="false">
      <c r="A839" s="26"/>
      <c r="B839" s="4"/>
      <c r="C839" s="27" t="str">
        <f aca="false">IF(B839="","",IFERROR(INDEX(Listas!$C$5:$C$40,MATCH(B839,Listas!$B$5:$B$40,0)),"?"))</f>
        <v/>
      </c>
      <c r="D839" s="4"/>
      <c r="E839" s="4"/>
      <c r="F839" s="4"/>
      <c r="G839" s="28"/>
      <c r="H839" s="29" t="str">
        <f aca="false">IF(A839="","",DATE(YEAR(A839),MONTH(A839),1))</f>
        <v/>
      </c>
    </row>
    <row r="840" customFormat="false" ht="15" hidden="false" customHeight="false" outlineLevel="0" collapsed="false">
      <c r="A840" s="26"/>
      <c r="B840" s="4"/>
      <c r="C840" s="27" t="str">
        <f aca="false">IF(B840="","",IFERROR(INDEX(Listas!$C$5:$C$40,MATCH(B840,Listas!$B$5:$B$40,0)),"?"))</f>
        <v/>
      </c>
      <c r="D840" s="4"/>
      <c r="E840" s="4"/>
      <c r="F840" s="4"/>
      <c r="G840" s="28"/>
      <c r="H840" s="29" t="str">
        <f aca="false">IF(A840="","",DATE(YEAR(A840),MONTH(A840),1))</f>
        <v/>
      </c>
    </row>
    <row r="841" customFormat="false" ht="15" hidden="false" customHeight="false" outlineLevel="0" collapsed="false">
      <c r="A841" s="26"/>
      <c r="B841" s="4"/>
      <c r="C841" s="27" t="str">
        <f aca="false">IF(B841="","",IFERROR(INDEX(Listas!$C$5:$C$40,MATCH(B841,Listas!$B$5:$B$40,0)),"?"))</f>
        <v/>
      </c>
      <c r="D841" s="4"/>
      <c r="E841" s="4"/>
      <c r="F841" s="4"/>
      <c r="G841" s="28"/>
      <c r="H841" s="29" t="str">
        <f aca="false">IF(A841="","",DATE(YEAR(A841),MONTH(A841),1))</f>
        <v/>
      </c>
    </row>
    <row r="842" customFormat="false" ht="15" hidden="false" customHeight="false" outlineLevel="0" collapsed="false">
      <c r="A842" s="26"/>
      <c r="B842" s="4"/>
      <c r="C842" s="27" t="str">
        <f aca="false">IF(B842="","",IFERROR(INDEX(Listas!$C$5:$C$40,MATCH(B842,Listas!$B$5:$B$40,0)),"?"))</f>
        <v/>
      </c>
      <c r="D842" s="4"/>
      <c r="E842" s="4"/>
      <c r="F842" s="4"/>
      <c r="G842" s="28"/>
      <c r="H842" s="29" t="str">
        <f aca="false">IF(A842="","",DATE(YEAR(A842),MONTH(A842),1))</f>
        <v/>
      </c>
    </row>
    <row r="843" customFormat="false" ht="15" hidden="false" customHeight="false" outlineLevel="0" collapsed="false">
      <c r="A843" s="26"/>
      <c r="B843" s="4"/>
      <c r="C843" s="27" t="str">
        <f aca="false">IF(B843="","",IFERROR(INDEX(Listas!$C$5:$C$40,MATCH(B843,Listas!$B$5:$B$40,0)),"?"))</f>
        <v/>
      </c>
      <c r="D843" s="4"/>
      <c r="E843" s="4"/>
      <c r="F843" s="4"/>
      <c r="G843" s="28"/>
      <c r="H843" s="29" t="str">
        <f aca="false">IF(A843="","",DATE(YEAR(A843),MONTH(A843),1))</f>
        <v/>
      </c>
    </row>
    <row r="844" customFormat="false" ht="15" hidden="false" customHeight="false" outlineLevel="0" collapsed="false">
      <c r="A844" s="26"/>
      <c r="B844" s="4"/>
      <c r="C844" s="27" t="str">
        <f aca="false">IF(B844="","",IFERROR(INDEX(Listas!$C$5:$C$40,MATCH(B844,Listas!$B$5:$B$40,0)),"?"))</f>
        <v/>
      </c>
      <c r="D844" s="4"/>
      <c r="E844" s="4"/>
      <c r="F844" s="4"/>
      <c r="G844" s="28"/>
      <c r="H844" s="29" t="str">
        <f aca="false">IF(A844="","",DATE(YEAR(A844),MONTH(A844),1))</f>
        <v/>
      </c>
    </row>
    <row r="845" customFormat="false" ht="15" hidden="false" customHeight="false" outlineLevel="0" collapsed="false">
      <c r="A845" s="26"/>
      <c r="B845" s="4"/>
      <c r="C845" s="27" t="str">
        <f aca="false">IF(B845="","",IFERROR(INDEX(Listas!$C$5:$C$40,MATCH(B845,Listas!$B$5:$B$40,0)),"?"))</f>
        <v/>
      </c>
      <c r="D845" s="4"/>
      <c r="E845" s="4"/>
      <c r="F845" s="4"/>
      <c r="G845" s="28"/>
      <c r="H845" s="29" t="str">
        <f aca="false">IF(A845="","",DATE(YEAR(A845),MONTH(A845),1))</f>
        <v/>
      </c>
    </row>
    <row r="846" customFormat="false" ht="15" hidden="false" customHeight="false" outlineLevel="0" collapsed="false">
      <c r="A846" s="26"/>
      <c r="B846" s="4"/>
      <c r="C846" s="27" t="str">
        <f aca="false">IF(B846="","",IFERROR(INDEX(Listas!$C$5:$C$40,MATCH(B846,Listas!$B$5:$B$40,0)),"?"))</f>
        <v/>
      </c>
      <c r="D846" s="4"/>
      <c r="E846" s="4"/>
      <c r="F846" s="4"/>
      <c r="G846" s="28"/>
      <c r="H846" s="29" t="str">
        <f aca="false">IF(A846="","",DATE(YEAR(A846),MONTH(A846),1))</f>
        <v/>
      </c>
    </row>
    <row r="847" customFormat="false" ht="15" hidden="false" customHeight="false" outlineLevel="0" collapsed="false">
      <c r="A847" s="26"/>
      <c r="B847" s="4"/>
      <c r="C847" s="27" t="str">
        <f aca="false">IF(B847="","",IFERROR(INDEX(Listas!$C$5:$C$40,MATCH(B847,Listas!$B$5:$B$40,0)),"?"))</f>
        <v/>
      </c>
      <c r="D847" s="4"/>
      <c r="E847" s="4"/>
      <c r="F847" s="4"/>
      <c r="G847" s="28"/>
      <c r="H847" s="29" t="str">
        <f aca="false">IF(A847="","",DATE(YEAR(A847),MONTH(A847),1))</f>
        <v/>
      </c>
    </row>
    <row r="848" customFormat="false" ht="15" hidden="false" customHeight="false" outlineLevel="0" collapsed="false">
      <c r="A848" s="26"/>
      <c r="B848" s="4"/>
      <c r="C848" s="27" t="str">
        <f aca="false">IF(B848="","",IFERROR(INDEX(Listas!$C$5:$C$40,MATCH(B848,Listas!$B$5:$B$40,0)),"?"))</f>
        <v/>
      </c>
      <c r="D848" s="4"/>
      <c r="E848" s="4"/>
      <c r="F848" s="4"/>
      <c r="G848" s="28"/>
      <c r="H848" s="29" t="str">
        <f aca="false">IF(A848="","",DATE(YEAR(A848),MONTH(A848),1))</f>
        <v/>
      </c>
    </row>
    <row r="849" customFormat="false" ht="15" hidden="false" customHeight="false" outlineLevel="0" collapsed="false">
      <c r="A849" s="26"/>
      <c r="B849" s="4"/>
      <c r="C849" s="27" t="str">
        <f aca="false">IF(B849="","",IFERROR(INDEX(Listas!$C$5:$C$40,MATCH(B849,Listas!$B$5:$B$40,0)),"?"))</f>
        <v/>
      </c>
      <c r="D849" s="4"/>
      <c r="E849" s="4"/>
      <c r="F849" s="4"/>
      <c r="G849" s="28"/>
      <c r="H849" s="29" t="str">
        <f aca="false">IF(A849="","",DATE(YEAR(A849),MONTH(A849),1))</f>
        <v/>
      </c>
    </row>
    <row r="850" customFormat="false" ht="15" hidden="false" customHeight="false" outlineLevel="0" collapsed="false">
      <c r="A850" s="26"/>
      <c r="B850" s="4"/>
      <c r="C850" s="27" t="str">
        <f aca="false">IF(B850="","",IFERROR(INDEX(Listas!$C$5:$C$40,MATCH(B850,Listas!$B$5:$B$40,0)),"?"))</f>
        <v/>
      </c>
      <c r="D850" s="4"/>
      <c r="E850" s="4"/>
      <c r="F850" s="4"/>
      <c r="G850" s="28"/>
      <c r="H850" s="29" t="str">
        <f aca="false">IF(A850="","",DATE(YEAR(A850),MONTH(A850),1))</f>
        <v/>
      </c>
    </row>
    <row r="851" customFormat="false" ht="15" hidden="false" customHeight="false" outlineLevel="0" collapsed="false">
      <c r="A851" s="26"/>
      <c r="B851" s="4"/>
      <c r="C851" s="27" t="str">
        <f aca="false">IF(B851="","",IFERROR(INDEX(Listas!$C$5:$C$40,MATCH(B851,Listas!$B$5:$B$40,0)),"?"))</f>
        <v/>
      </c>
      <c r="D851" s="4"/>
      <c r="E851" s="4"/>
      <c r="F851" s="4"/>
      <c r="G851" s="28"/>
      <c r="H851" s="29" t="str">
        <f aca="false">IF(A851="","",DATE(YEAR(A851),MONTH(A851),1))</f>
        <v/>
      </c>
    </row>
    <row r="852" customFormat="false" ht="15" hidden="false" customHeight="false" outlineLevel="0" collapsed="false">
      <c r="A852" s="26"/>
      <c r="B852" s="4"/>
      <c r="C852" s="27" t="str">
        <f aca="false">IF(B852="","",IFERROR(INDEX(Listas!$C$5:$C$40,MATCH(B852,Listas!$B$5:$B$40,0)),"?"))</f>
        <v/>
      </c>
      <c r="D852" s="4"/>
      <c r="E852" s="4"/>
      <c r="F852" s="4"/>
      <c r="G852" s="28"/>
      <c r="H852" s="29" t="str">
        <f aca="false">IF(A852="","",DATE(YEAR(A852),MONTH(A852),1))</f>
        <v/>
      </c>
    </row>
    <row r="853" customFormat="false" ht="15" hidden="false" customHeight="false" outlineLevel="0" collapsed="false">
      <c r="A853" s="26"/>
      <c r="B853" s="4"/>
      <c r="C853" s="27" t="str">
        <f aca="false">IF(B853="","",IFERROR(INDEX(Listas!$C$5:$C$40,MATCH(B853,Listas!$B$5:$B$40,0)),"?"))</f>
        <v/>
      </c>
      <c r="D853" s="4"/>
      <c r="E853" s="4"/>
      <c r="F853" s="4"/>
      <c r="G853" s="28"/>
      <c r="H853" s="29" t="str">
        <f aca="false">IF(A853="","",DATE(YEAR(A853),MONTH(A853),1))</f>
        <v/>
      </c>
    </row>
    <row r="854" customFormat="false" ht="15" hidden="false" customHeight="false" outlineLevel="0" collapsed="false">
      <c r="A854" s="26"/>
      <c r="B854" s="4"/>
      <c r="C854" s="27" t="str">
        <f aca="false">IF(B854="","",IFERROR(INDEX(Listas!$C$5:$C$40,MATCH(B854,Listas!$B$5:$B$40,0)),"?"))</f>
        <v/>
      </c>
      <c r="D854" s="4"/>
      <c r="E854" s="4"/>
      <c r="F854" s="4"/>
      <c r="G854" s="28"/>
      <c r="H854" s="29" t="str">
        <f aca="false">IF(A854="","",DATE(YEAR(A854),MONTH(A854),1))</f>
        <v/>
      </c>
    </row>
    <row r="855" customFormat="false" ht="15" hidden="false" customHeight="false" outlineLevel="0" collapsed="false">
      <c r="A855" s="26"/>
      <c r="B855" s="4"/>
      <c r="C855" s="27" t="str">
        <f aca="false">IF(B855="","",IFERROR(INDEX(Listas!$C$5:$C$40,MATCH(B855,Listas!$B$5:$B$40,0)),"?"))</f>
        <v/>
      </c>
      <c r="D855" s="4"/>
      <c r="E855" s="4"/>
      <c r="F855" s="4"/>
      <c r="G855" s="28"/>
      <c r="H855" s="29" t="str">
        <f aca="false">IF(A855="","",DATE(YEAR(A855),MONTH(A855),1))</f>
        <v/>
      </c>
    </row>
    <row r="856" customFormat="false" ht="15" hidden="false" customHeight="false" outlineLevel="0" collapsed="false">
      <c r="A856" s="26"/>
      <c r="B856" s="4"/>
      <c r="C856" s="27" t="str">
        <f aca="false">IF(B856="","",IFERROR(INDEX(Listas!$C$5:$C$40,MATCH(B856,Listas!$B$5:$B$40,0)),"?"))</f>
        <v/>
      </c>
      <c r="D856" s="4"/>
      <c r="E856" s="4"/>
      <c r="F856" s="4"/>
      <c r="G856" s="28"/>
      <c r="H856" s="29" t="str">
        <f aca="false">IF(A856="","",DATE(YEAR(A856),MONTH(A856),1))</f>
        <v/>
      </c>
    </row>
    <row r="857" customFormat="false" ht="15" hidden="false" customHeight="false" outlineLevel="0" collapsed="false">
      <c r="A857" s="26"/>
      <c r="B857" s="4"/>
      <c r="C857" s="27" t="str">
        <f aca="false">IF(B857="","",IFERROR(INDEX(Listas!$C$5:$C$40,MATCH(B857,Listas!$B$5:$B$40,0)),"?"))</f>
        <v/>
      </c>
      <c r="D857" s="4"/>
      <c r="E857" s="4"/>
      <c r="F857" s="4"/>
      <c r="G857" s="28"/>
      <c r="H857" s="29" t="str">
        <f aca="false">IF(A857="","",DATE(YEAR(A857),MONTH(A857),1))</f>
        <v/>
      </c>
    </row>
    <row r="858" customFormat="false" ht="15" hidden="false" customHeight="false" outlineLevel="0" collapsed="false">
      <c r="A858" s="26"/>
      <c r="B858" s="4"/>
      <c r="C858" s="27" t="str">
        <f aca="false">IF(B858="","",IFERROR(INDEX(Listas!$C$5:$C$40,MATCH(B858,Listas!$B$5:$B$40,0)),"?"))</f>
        <v/>
      </c>
      <c r="D858" s="4"/>
      <c r="E858" s="4"/>
      <c r="F858" s="4"/>
      <c r="G858" s="28"/>
      <c r="H858" s="29" t="str">
        <f aca="false">IF(A858="","",DATE(YEAR(A858),MONTH(A858),1))</f>
        <v/>
      </c>
    </row>
    <row r="859" customFormat="false" ht="15" hidden="false" customHeight="false" outlineLevel="0" collapsed="false">
      <c r="A859" s="26"/>
      <c r="B859" s="4"/>
      <c r="C859" s="27" t="str">
        <f aca="false">IF(B859="","",IFERROR(INDEX(Listas!$C$5:$C$40,MATCH(B859,Listas!$B$5:$B$40,0)),"?"))</f>
        <v/>
      </c>
      <c r="D859" s="4"/>
      <c r="E859" s="4"/>
      <c r="F859" s="4"/>
      <c r="G859" s="28"/>
      <c r="H859" s="29" t="str">
        <f aca="false">IF(A859="","",DATE(YEAR(A859),MONTH(A859),1))</f>
        <v/>
      </c>
    </row>
    <row r="860" customFormat="false" ht="15" hidden="false" customHeight="false" outlineLevel="0" collapsed="false">
      <c r="A860" s="26"/>
      <c r="B860" s="4"/>
      <c r="C860" s="27" t="str">
        <f aca="false">IF(B860="","",IFERROR(INDEX(Listas!$C$5:$C$40,MATCH(B860,Listas!$B$5:$B$40,0)),"?"))</f>
        <v/>
      </c>
      <c r="D860" s="4"/>
      <c r="E860" s="4"/>
      <c r="F860" s="4"/>
      <c r="G860" s="28"/>
      <c r="H860" s="29" t="str">
        <f aca="false">IF(A860="","",DATE(YEAR(A860),MONTH(A860),1))</f>
        <v/>
      </c>
    </row>
    <row r="861" customFormat="false" ht="15" hidden="false" customHeight="false" outlineLevel="0" collapsed="false">
      <c r="A861" s="26"/>
      <c r="B861" s="4"/>
      <c r="C861" s="27" t="str">
        <f aca="false">IF(B861="","",IFERROR(INDEX(Listas!$C$5:$C$40,MATCH(B861,Listas!$B$5:$B$40,0)),"?"))</f>
        <v/>
      </c>
      <c r="D861" s="4"/>
      <c r="E861" s="4"/>
      <c r="F861" s="4"/>
      <c r="G861" s="28"/>
      <c r="H861" s="29" t="str">
        <f aca="false">IF(A861="","",DATE(YEAR(A861),MONTH(A861),1))</f>
        <v/>
      </c>
    </row>
    <row r="862" customFormat="false" ht="15" hidden="false" customHeight="false" outlineLevel="0" collapsed="false">
      <c r="A862" s="26"/>
      <c r="B862" s="4"/>
      <c r="C862" s="27" t="str">
        <f aca="false">IF(B862="","",IFERROR(INDEX(Listas!$C$5:$C$40,MATCH(B862,Listas!$B$5:$B$40,0)),"?"))</f>
        <v/>
      </c>
      <c r="D862" s="4"/>
      <c r="E862" s="4"/>
      <c r="F862" s="4"/>
      <c r="G862" s="28"/>
      <c r="H862" s="29" t="str">
        <f aca="false">IF(A862="","",DATE(YEAR(A862),MONTH(A862),1))</f>
        <v/>
      </c>
    </row>
    <row r="863" customFormat="false" ht="15" hidden="false" customHeight="false" outlineLevel="0" collapsed="false">
      <c r="A863" s="26"/>
      <c r="B863" s="4"/>
      <c r="C863" s="27" t="str">
        <f aca="false">IF(B863="","",IFERROR(INDEX(Listas!$C$5:$C$40,MATCH(B863,Listas!$B$5:$B$40,0)),"?"))</f>
        <v/>
      </c>
      <c r="D863" s="4"/>
      <c r="E863" s="4"/>
      <c r="F863" s="4"/>
      <c r="G863" s="28"/>
      <c r="H863" s="29" t="str">
        <f aca="false">IF(A863="","",DATE(YEAR(A863),MONTH(A863),1))</f>
        <v/>
      </c>
    </row>
    <row r="864" customFormat="false" ht="15" hidden="false" customHeight="false" outlineLevel="0" collapsed="false">
      <c r="A864" s="26"/>
      <c r="B864" s="4"/>
      <c r="C864" s="27" t="str">
        <f aca="false">IF(B864="","",IFERROR(INDEX(Listas!$C$5:$C$40,MATCH(B864,Listas!$B$5:$B$40,0)),"?"))</f>
        <v/>
      </c>
      <c r="D864" s="4"/>
      <c r="E864" s="4"/>
      <c r="F864" s="4"/>
      <c r="G864" s="28"/>
      <c r="H864" s="29" t="str">
        <f aca="false">IF(A864="","",DATE(YEAR(A864),MONTH(A864),1))</f>
        <v/>
      </c>
    </row>
    <row r="865" customFormat="false" ht="15" hidden="false" customHeight="false" outlineLevel="0" collapsed="false">
      <c r="A865" s="26"/>
      <c r="B865" s="4"/>
      <c r="C865" s="27" t="str">
        <f aca="false">IF(B865="","",IFERROR(INDEX(Listas!$C$5:$C$40,MATCH(B865,Listas!$B$5:$B$40,0)),"?"))</f>
        <v/>
      </c>
      <c r="D865" s="4"/>
      <c r="E865" s="4"/>
      <c r="F865" s="4"/>
      <c r="G865" s="28"/>
      <c r="H865" s="29" t="str">
        <f aca="false">IF(A865="","",DATE(YEAR(A865),MONTH(A865),1))</f>
        <v/>
      </c>
    </row>
    <row r="866" customFormat="false" ht="15" hidden="false" customHeight="false" outlineLevel="0" collapsed="false">
      <c r="A866" s="26"/>
      <c r="B866" s="4"/>
      <c r="C866" s="27" t="str">
        <f aca="false">IF(B866="","",IFERROR(INDEX(Listas!$C$5:$C$40,MATCH(B866,Listas!$B$5:$B$40,0)),"?"))</f>
        <v/>
      </c>
      <c r="D866" s="4"/>
      <c r="E866" s="4"/>
      <c r="F866" s="4"/>
      <c r="G866" s="28"/>
      <c r="H866" s="29" t="str">
        <f aca="false">IF(A866="","",DATE(YEAR(A866),MONTH(A866),1))</f>
        <v/>
      </c>
    </row>
    <row r="867" customFormat="false" ht="15" hidden="false" customHeight="false" outlineLevel="0" collapsed="false">
      <c r="A867" s="26"/>
      <c r="B867" s="4"/>
      <c r="C867" s="27" t="str">
        <f aca="false">IF(B867="","",IFERROR(INDEX(Listas!$C$5:$C$40,MATCH(B867,Listas!$B$5:$B$40,0)),"?"))</f>
        <v/>
      </c>
      <c r="D867" s="4"/>
      <c r="E867" s="4"/>
      <c r="F867" s="4"/>
      <c r="G867" s="28"/>
      <c r="H867" s="29" t="str">
        <f aca="false">IF(A867="","",DATE(YEAR(A867),MONTH(A867),1))</f>
        <v/>
      </c>
    </row>
    <row r="868" customFormat="false" ht="15" hidden="false" customHeight="false" outlineLevel="0" collapsed="false">
      <c r="A868" s="26"/>
      <c r="B868" s="4"/>
      <c r="C868" s="27" t="str">
        <f aca="false">IF(B868="","",IFERROR(INDEX(Listas!$C$5:$C$40,MATCH(B868,Listas!$B$5:$B$40,0)),"?"))</f>
        <v/>
      </c>
      <c r="D868" s="4"/>
      <c r="E868" s="4"/>
      <c r="F868" s="4"/>
      <c r="G868" s="28"/>
      <c r="H868" s="29" t="str">
        <f aca="false">IF(A868="","",DATE(YEAR(A868),MONTH(A868),1))</f>
        <v/>
      </c>
    </row>
    <row r="869" customFormat="false" ht="15" hidden="false" customHeight="false" outlineLevel="0" collapsed="false">
      <c r="A869" s="26"/>
      <c r="B869" s="4"/>
      <c r="C869" s="27" t="str">
        <f aca="false">IF(B869="","",IFERROR(INDEX(Listas!$C$5:$C$40,MATCH(B869,Listas!$B$5:$B$40,0)),"?"))</f>
        <v/>
      </c>
      <c r="D869" s="4"/>
      <c r="E869" s="4"/>
      <c r="F869" s="4"/>
      <c r="G869" s="28"/>
      <c r="H869" s="29" t="str">
        <f aca="false">IF(A869="","",DATE(YEAR(A869),MONTH(A869),1))</f>
        <v/>
      </c>
    </row>
    <row r="870" customFormat="false" ht="15" hidden="false" customHeight="false" outlineLevel="0" collapsed="false">
      <c r="A870" s="26"/>
      <c r="B870" s="4"/>
      <c r="C870" s="27" t="str">
        <f aca="false">IF(B870="","",IFERROR(INDEX(Listas!$C$5:$C$40,MATCH(B870,Listas!$B$5:$B$40,0)),"?"))</f>
        <v/>
      </c>
      <c r="D870" s="4"/>
      <c r="E870" s="4"/>
      <c r="F870" s="4"/>
      <c r="G870" s="28"/>
      <c r="H870" s="29" t="str">
        <f aca="false">IF(A870="","",DATE(YEAR(A870),MONTH(A870),1))</f>
        <v/>
      </c>
    </row>
    <row r="871" customFormat="false" ht="15" hidden="false" customHeight="false" outlineLevel="0" collapsed="false">
      <c r="A871" s="26"/>
      <c r="B871" s="4"/>
      <c r="C871" s="27" t="str">
        <f aca="false">IF(B871="","",IFERROR(INDEX(Listas!$C$5:$C$40,MATCH(B871,Listas!$B$5:$B$40,0)),"?"))</f>
        <v/>
      </c>
      <c r="D871" s="4"/>
      <c r="E871" s="4"/>
      <c r="F871" s="4"/>
      <c r="G871" s="28"/>
      <c r="H871" s="29" t="str">
        <f aca="false">IF(A871="","",DATE(YEAR(A871),MONTH(A871),1))</f>
        <v/>
      </c>
    </row>
    <row r="872" customFormat="false" ht="15" hidden="false" customHeight="false" outlineLevel="0" collapsed="false">
      <c r="A872" s="26"/>
      <c r="B872" s="4"/>
      <c r="C872" s="27" t="str">
        <f aca="false">IF(B872="","",IFERROR(INDEX(Listas!$C$5:$C$40,MATCH(B872,Listas!$B$5:$B$40,0)),"?"))</f>
        <v/>
      </c>
      <c r="D872" s="4"/>
      <c r="E872" s="4"/>
      <c r="F872" s="4"/>
      <c r="G872" s="28"/>
      <c r="H872" s="29" t="str">
        <f aca="false">IF(A872="","",DATE(YEAR(A872),MONTH(A872),1))</f>
        <v/>
      </c>
    </row>
    <row r="873" customFormat="false" ht="15" hidden="false" customHeight="false" outlineLevel="0" collapsed="false">
      <c r="A873" s="26"/>
      <c r="B873" s="4"/>
      <c r="C873" s="27" t="str">
        <f aca="false">IF(B873="","",IFERROR(INDEX(Listas!$C$5:$C$40,MATCH(B873,Listas!$B$5:$B$40,0)),"?"))</f>
        <v/>
      </c>
      <c r="D873" s="4"/>
      <c r="E873" s="4"/>
      <c r="F873" s="4"/>
      <c r="G873" s="28"/>
      <c r="H873" s="29" t="str">
        <f aca="false">IF(A873="","",DATE(YEAR(A873),MONTH(A873),1))</f>
        <v/>
      </c>
    </row>
    <row r="874" customFormat="false" ht="15" hidden="false" customHeight="false" outlineLevel="0" collapsed="false">
      <c r="A874" s="26"/>
      <c r="B874" s="4"/>
      <c r="C874" s="27" t="str">
        <f aca="false">IF(B874="","",IFERROR(INDEX(Listas!$C$5:$C$40,MATCH(B874,Listas!$B$5:$B$40,0)),"?"))</f>
        <v/>
      </c>
      <c r="D874" s="4"/>
      <c r="E874" s="4"/>
      <c r="F874" s="4"/>
      <c r="G874" s="28"/>
      <c r="H874" s="29" t="str">
        <f aca="false">IF(A874="","",DATE(YEAR(A874),MONTH(A874),1))</f>
        <v/>
      </c>
    </row>
    <row r="875" customFormat="false" ht="15" hidden="false" customHeight="false" outlineLevel="0" collapsed="false">
      <c r="A875" s="26"/>
      <c r="B875" s="4"/>
      <c r="C875" s="27" t="str">
        <f aca="false">IF(B875="","",IFERROR(INDEX(Listas!$C$5:$C$40,MATCH(B875,Listas!$B$5:$B$40,0)),"?"))</f>
        <v/>
      </c>
      <c r="D875" s="4"/>
      <c r="E875" s="4"/>
      <c r="F875" s="4"/>
      <c r="G875" s="28"/>
      <c r="H875" s="29" t="str">
        <f aca="false">IF(A875="","",DATE(YEAR(A875),MONTH(A875),1))</f>
        <v/>
      </c>
    </row>
    <row r="876" customFormat="false" ht="15" hidden="false" customHeight="false" outlineLevel="0" collapsed="false">
      <c r="A876" s="26"/>
      <c r="B876" s="4"/>
      <c r="C876" s="27" t="str">
        <f aca="false">IF(B876="","",IFERROR(INDEX(Listas!$C$5:$C$40,MATCH(B876,Listas!$B$5:$B$40,0)),"?"))</f>
        <v/>
      </c>
      <c r="D876" s="4"/>
      <c r="E876" s="4"/>
      <c r="F876" s="4"/>
      <c r="G876" s="28"/>
      <c r="H876" s="29" t="str">
        <f aca="false">IF(A876="","",DATE(YEAR(A876),MONTH(A876),1))</f>
        <v/>
      </c>
    </row>
    <row r="877" customFormat="false" ht="15" hidden="false" customHeight="false" outlineLevel="0" collapsed="false">
      <c r="A877" s="26"/>
      <c r="B877" s="4"/>
      <c r="C877" s="27" t="str">
        <f aca="false">IF(B877="","",IFERROR(INDEX(Listas!$C$5:$C$40,MATCH(B877,Listas!$B$5:$B$40,0)),"?"))</f>
        <v/>
      </c>
      <c r="D877" s="4"/>
      <c r="E877" s="4"/>
      <c r="F877" s="4"/>
      <c r="G877" s="28"/>
      <c r="H877" s="29" t="str">
        <f aca="false">IF(A877="","",DATE(YEAR(A877),MONTH(A877),1))</f>
        <v/>
      </c>
    </row>
    <row r="878" customFormat="false" ht="15" hidden="false" customHeight="false" outlineLevel="0" collapsed="false">
      <c r="A878" s="26"/>
      <c r="B878" s="4"/>
      <c r="C878" s="27" t="str">
        <f aca="false">IF(B878="","",IFERROR(INDEX(Listas!$C$5:$C$40,MATCH(B878,Listas!$B$5:$B$40,0)),"?"))</f>
        <v/>
      </c>
      <c r="D878" s="4"/>
      <c r="E878" s="4"/>
      <c r="F878" s="4"/>
      <c r="G878" s="28"/>
      <c r="H878" s="29" t="str">
        <f aca="false">IF(A878="","",DATE(YEAR(A878),MONTH(A878),1))</f>
        <v/>
      </c>
    </row>
    <row r="879" customFormat="false" ht="15" hidden="false" customHeight="false" outlineLevel="0" collapsed="false">
      <c r="A879" s="26"/>
      <c r="B879" s="4"/>
      <c r="C879" s="27" t="str">
        <f aca="false">IF(B879="","",IFERROR(INDEX(Listas!$C$5:$C$40,MATCH(B879,Listas!$B$5:$B$40,0)),"?"))</f>
        <v/>
      </c>
      <c r="D879" s="4"/>
      <c r="E879" s="4"/>
      <c r="F879" s="4"/>
      <c r="G879" s="28"/>
      <c r="H879" s="29" t="str">
        <f aca="false">IF(A879="","",DATE(YEAR(A879),MONTH(A879),1))</f>
        <v/>
      </c>
    </row>
    <row r="880" customFormat="false" ht="15" hidden="false" customHeight="false" outlineLevel="0" collapsed="false">
      <c r="A880" s="26"/>
      <c r="B880" s="4"/>
      <c r="C880" s="27" t="str">
        <f aca="false">IF(B880="","",IFERROR(INDEX(Listas!$C$5:$C$40,MATCH(B880,Listas!$B$5:$B$40,0)),"?"))</f>
        <v/>
      </c>
      <c r="D880" s="4"/>
      <c r="E880" s="4"/>
      <c r="F880" s="4"/>
      <c r="G880" s="28"/>
      <c r="H880" s="29" t="str">
        <f aca="false">IF(A880="","",DATE(YEAR(A880),MONTH(A880),1))</f>
        <v/>
      </c>
    </row>
    <row r="881" customFormat="false" ht="15" hidden="false" customHeight="false" outlineLevel="0" collapsed="false">
      <c r="A881" s="26"/>
      <c r="B881" s="4"/>
      <c r="C881" s="27" t="str">
        <f aca="false">IF(B881="","",IFERROR(INDEX(Listas!$C$5:$C$40,MATCH(B881,Listas!$B$5:$B$40,0)),"?"))</f>
        <v/>
      </c>
      <c r="D881" s="4"/>
      <c r="E881" s="4"/>
      <c r="F881" s="4"/>
      <c r="G881" s="28"/>
      <c r="H881" s="29" t="str">
        <f aca="false">IF(A881="","",DATE(YEAR(A881),MONTH(A881),1))</f>
        <v/>
      </c>
    </row>
    <row r="882" customFormat="false" ht="15" hidden="false" customHeight="false" outlineLevel="0" collapsed="false">
      <c r="A882" s="26"/>
      <c r="B882" s="4"/>
      <c r="C882" s="27" t="str">
        <f aca="false">IF(B882="","",IFERROR(INDEX(Listas!$C$5:$C$40,MATCH(B882,Listas!$B$5:$B$40,0)),"?"))</f>
        <v/>
      </c>
      <c r="D882" s="4"/>
      <c r="E882" s="4"/>
      <c r="F882" s="4"/>
      <c r="G882" s="28"/>
      <c r="H882" s="29" t="str">
        <f aca="false">IF(A882="","",DATE(YEAR(A882),MONTH(A882),1))</f>
        <v/>
      </c>
    </row>
    <row r="883" customFormat="false" ht="15" hidden="false" customHeight="false" outlineLevel="0" collapsed="false">
      <c r="A883" s="26"/>
      <c r="B883" s="4"/>
      <c r="C883" s="27" t="str">
        <f aca="false">IF(B883="","",IFERROR(INDEX(Listas!$C$5:$C$40,MATCH(B883,Listas!$B$5:$B$40,0)),"?"))</f>
        <v/>
      </c>
      <c r="D883" s="4"/>
      <c r="E883" s="4"/>
      <c r="F883" s="4"/>
      <c r="G883" s="28"/>
      <c r="H883" s="29" t="str">
        <f aca="false">IF(A883="","",DATE(YEAR(A883),MONTH(A883),1))</f>
        <v/>
      </c>
    </row>
    <row r="884" customFormat="false" ht="15" hidden="false" customHeight="false" outlineLevel="0" collapsed="false">
      <c r="A884" s="26"/>
      <c r="B884" s="4"/>
      <c r="C884" s="27" t="str">
        <f aca="false">IF(B884="","",IFERROR(INDEX(Listas!$C$5:$C$40,MATCH(B884,Listas!$B$5:$B$40,0)),"?"))</f>
        <v/>
      </c>
      <c r="D884" s="4"/>
      <c r="E884" s="4"/>
      <c r="F884" s="4"/>
      <c r="G884" s="28"/>
      <c r="H884" s="29" t="str">
        <f aca="false">IF(A884="","",DATE(YEAR(A884),MONTH(A884),1))</f>
        <v/>
      </c>
    </row>
    <row r="885" customFormat="false" ht="15" hidden="false" customHeight="false" outlineLevel="0" collapsed="false">
      <c r="A885" s="26"/>
      <c r="B885" s="4"/>
      <c r="C885" s="27" t="str">
        <f aca="false">IF(B885="","",IFERROR(INDEX(Listas!$C$5:$C$40,MATCH(B885,Listas!$B$5:$B$40,0)),"?"))</f>
        <v/>
      </c>
      <c r="D885" s="4"/>
      <c r="E885" s="4"/>
      <c r="F885" s="4"/>
      <c r="G885" s="28"/>
      <c r="H885" s="29" t="str">
        <f aca="false">IF(A885="","",DATE(YEAR(A885),MONTH(A885),1))</f>
        <v/>
      </c>
    </row>
    <row r="886" customFormat="false" ht="15" hidden="false" customHeight="false" outlineLevel="0" collapsed="false">
      <c r="A886" s="26"/>
      <c r="B886" s="4"/>
      <c r="C886" s="27" t="str">
        <f aca="false">IF(B886="","",IFERROR(INDEX(Listas!$C$5:$C$40,MATCH(B886,Listas!$B$5:$B$40,0)),"?"))</f>
        <v/>
      </c>
      <c r="D886" s="4"/>
      <c r="E886" s="4"/>
      <c r="F886" s="4"/>
      <c r="G886" s="28"/>
      <c r="H886" s="29" t="str">
        <f aca="false">IF(A886="","",DATE(YEAR(A886),MONTH(A886),1))</f>
        <v/>
      </c>
    </row>
    <row r="887" customFormat="false" ht="15" hidden="false" customHeight="false" outlineLevel="0" collapsed="false">
      <c r="A887" s="26"/>
      <c r="B887" s="4"/>
      <c r="C887" s="27" t="str">
        <f aca="false">IF(B887="","",IFERROR(INDEX(Listas!$C$5:$C$40,MATCH(B887,Listas!$B$5:$B$40,0)),"?"))</f>
        <v/>
      </c>
      <c r="D887" s="4"/>
      <c r="E887" s="4"/>
      <c r="F887" s="4"/>
      <c r="G887" s="28"/>
      <c r="H887" s="29" t="str">
        <f aca="false">IF(A887="","",DATE(YEAR(A887),MONTH(A887),1))</f>
        <v/>
      </c>
    </row>
    <row r="888" customFormat="false" ht="15" hidden="false" customHeight="false" outlineLevel="0" collapsed="false">
      <c r="A888" s="26"/>
      <c r="B888" s="4"/>
      <c r="C888" s="27" t="str">
        <f aca="false">IF(B888="","",IFERROR(INDEX(Listas!$C$5:$C$40,MATCH(B888,Listas!$B$5:$B$40,0)),"?"))</f>
        <v/>
      </c>
      <c r="D888" s="4"/>
      <c r="E888" s="4"/>
      <c r="F888" s="4"/>
      <c r="G888" s="28"/>
      <c r="H888" s="29" t="str">
        <f aca="false">IF(A888="","",DATE(YEAR(A888),MONTH(A888),1))</f>
        <v/>
      </c>
    </row>
    <row r="889" customFormat="false" ht="15" hidden="false" customHeight="false" outlineLevel="0" collapsed="false">
      <c r="A889" s="26"/>
      <c r="B889" s="4"/>
      <c r="C889" s="27" t="str">
        <f aca="false">IF(B889="","",IFERROR(INDEX(Listas!$C$5:$C$40,MATCH(B889,Listas!$B$5:$B$40,0)),"?"))</f>
        <v/>
      </c>
      <c r="D889" s="4"/>
      <c r="E889" s="4"/>
      <c r="F889" s="4"/>
      <c r="G889" s="28"/>
      <c r="H889" s="29" t="str">
        <f aca="false">IF(A889="","",DATE(YEAR(A889),MONTH(A889),1))</f>
        <v/>
      </c>
    </row>
    <row r="890" customFormat="false" ht="15" hidden="false" customHeight="false" outlineLevel="0" collapsed="false">
      <c r="A890" s="26"/>
      <c r="B890" s="4"/>
      <c r="C890" s="27" t="str">
        <f aca="false">IF(B890="","",IFERROR(INDEX(Listas!$C$5:$C$40,MATCH(B890,Listas!$B$5:$B$40,0)),"?"))</f>
        <v/>
      </c>
      <c r="D890" s="4"/>
      <c r="E890" s="4"/>
      <c r="F890" s="4"/>
      <c r="G890" s="28"/>
      <c r="H890" s="29" t="str">
        <f aca="false">IF(A890="","",DATE(YEAR(A890),MONTH(A890),1))</f>
        <v/>
      </c>
    </row>
    <row r="891" customFormat="false" ht="15" hidden="false" customHeight="false" outlineLevel="0" collapsed="false">
      <c r="A891" s="26"/>
      <c r="B891" s="4"/>
      <c r="C891" s="27" t="str">
        <f aca="false">IF(B891="","",IFERROR(INDEX(Listas!$C$5:$C$40,MATCH(B891,Listas!$B$5:$B$40,0)),"?"))</f>
        <v/>
      </c>
      <c r="D891" s="4"/>
      <c r="E891" s="4"/>
      <c r="F891" s="4"/>
      <c r="G891" s="28"/>
      <c r="H891" s="29" t="str">
        <f aca="false">IF(A891="","",DATE(YEAR(A891),MONTH(A891),1))</f>
        <v/>
      </c>
    </row>
    <row r="892" customFormat="false" ht="15" hidden="false" customHeight="false" outlineLevel="0" collapsed="false">
      <c r="A892" s="26"/>
      <c r="B892" s="4"/>
      <c r="C892" s="27" t="str">
        <f aca="false">IF(B892="","",IFERROR(INDEX(Listas!$C$5:$C$40,MATCH(B892,Listas!$B$5:$B$40,0)),"?"))</f>
        <v/>
      </c>
      <c r="D892" s="4"/>
      <c r="E892" s="4"/>
      <c r="F892" s="4"/>
      <c r="G892" s="28"/>
      <c r="H892" s="29" t="str">
        <f aca="false">IF(A892="","",DATE(YEAR(A892),MONTH(A892),1))</f>
        <v/>
      </c>
    </row>
    <row r="893" customFormat="false" ht="15" hidden="false" customHeight="false" outlineLevel="0" collapsed="false">
      <c r="A893" s="26"/>
      <c r="B893" s="4"/>
      <c r="C893" s="27" t="str">
        <f aca="false">IF(B893="","",IFERROR(INDEX(Listas!$C$5:$C$40,MATCH(B893,Listas!$B$5:$B$40,0)),"?"))</f>
        <v/>
      </c>
      <c r="D893" s="4"/>
      <c r="E893" s="4"/>
      <c r="F893" s="4"/>
      <c r="G893" s="28"/>
      <c r="H893" s="29" t="str">
        <f aca="false">IF(A893="","",DATE(YEAR(A893),MONTH(A893),1))</f>
        <v/>
      </c>
    </row>
    <row r="894" customFormat="false" ht="15" hidden="false" customHeight="false" outlineLevel="0" collapsed="false">
      <c r="A894" s="26"/>
      <c r="B894" s="4"/>
      <c r="C894" s="27" t="str">
        <f aca="false">IF(B894="","",IFERROR(INDEX(Listas!$C$5:$C$40,MATCH(B894,Listas!$B$5:$B$40,0)),"?"))</f>
        <v/>
      </c>
      <c r="D894" s="4"/>
      <c r="E894" s="4"/>
      <c r="F894" s="4"/>
      <c r="G894" s="28"/>
      <c r="H894" s="29" t="str">
        <f aca="false">IF(A894="","",DATE(YEAR(A894),MONTH(A894),1))</f>
        <v/>
      </c>
    </row>
    <row r="895" customFormat="false" ht="15" hidden="false" customHeight="false" outlineLevel="0" collapsed="false">
      <c r="A895" s="26"/>
      <c r="B895" s="4"/>
      <c r="C895" s="27" t="str">
        <f aca="false">IF(B895="","",IFERROR(INDEX(Listas!$C$5:$C$40,MATCH(B895,Listas!$B$5:$B$40,0)),"?"))</f>
        <v/>
      </c>
      <c r="D895" s="4"/>
      <c r="E895" s="4"/>
      <c r="F895" s="4"/>
      <c r="G895" s="28"/>
      <c r="H895" s="29" t="str">
        <f aca="false">IF(A895="","",DATE(YEAR(A895),MONTH(A895),1))</f>
        <v/>
      </c>
    </row>
    <row r="896" customFormat="false" ht="15" hidden="false" customHeight="false" outlineLevel="0" collapsed="false">
      <c r="A896" s="26"/>
      <c r="B896" s="4"/>
      <c r="C896" s="27" t="str">
        <f aca="false">IF(B896="","",IFERROR(INDEX(Listas!$C$5:$C$40,MATCH(B896,Listas!$B$5:$B$40,0)),"?"))</f>
        <v/>
      </c>
      <c r="D896" s="4"/>
      <c r="E896" s="4"/>
      <c r="F896" s="4"/>
      <c r="G896" s="28"/>
      <c r="H896" s="29" t="str">
        <f aca="false">IF(A896="","",DATE(YEAR(A896),MONTH(A896),1))</f>
        <v/>
      </c>
    </row>
    <row r="897" customFormat="false" ht="15" hidden="false" customHeight="false" outlineLevel="0" collapsed="false">
      <c r="A897" s="26"/>
      <c r="B897" s="4"/>
      <c r="C897" s="27" t="str">
        <f aca="false">IF(B897="","",IFERROR(INDEX(Listas!$C$5:$C$40,MATCH(B897,Listas!$B$5:$B$40,0)),"?"))</f>
        <v/>
      </c>
      <c r="D897" s="4"/>
      <c r="E897" s="4"/>
      <c r="F897" s="4"/>
      <c r="G897" s="28"/>
      <c r="H897" s="29" t="str">
        <f aca="false">IF(A897="","",DATE(YEAR(A897),MONTH(A897),1))</f>
        <v/>
      </c>
    </row>
    <row r="898" customFormat="false" ht="15" hidden="false" customHeight="false" outlineLevel="0" collapsed="false">
      <c r="A898" s="26"/>
      <c r="B898" s="4"/>
      <c r="C898" s="27" t="str">
        <f aca="false">IF(B898="","",IFERROR(INDEX(Listas!$C$5:$C$40,MATCH(B898,Listas!$B$5:$B$40,0)),"?"))</f>
        <v/>
      </c>
      <c r="D898" s="4"/>
      <c r="E898" s="4"/>
      <c r="F898" s="4"/>
      <c r="G898" s="28"/>
      <c r="H898" s="29" t="str">
        <f aca="false">IF(A898="","",DATE(YEAR(A898),MONTH(A898),1))</f>
        <v/>
      </c>
    </row>
    <row r="899" customFormat="false" ht="15" hidden="false" customHeight="false" outlineLevel="0" collapsed="false">
      <c r="A899" s="26"/>
      <c r="B899" s="4"/>
      <c r="C899" s="27" t="str">
        <f aca="false">IF(B899="","",IFERROR(INDEX(Listas!$C$5:$C$40,MATCH(B899,Listas!$B$5:$B$40,0)),"?"))</f>
        <v/>
      </c>
      <c r="D899" s="4"/>
      <c r="E899" s="4"/>
      <c r="F899" s="4"/>
      <c r="G899" s="28"/>
      <c r="H899" s="29" t="str">
        <f aca="false">IF(A899="","",DATE(YEAR(A899),MONTH(A899),1))</f>
        <v/>
      </c>
    </row>
    <row r="900" customFormat="false" ht="15" hidden="false" customHeight="false" outlineLevel="0" collapsed="false">
      <c r="A900" s="26"/>
      <c r="B900" s="4"/>
      <c r="C900" s="27" t="str">
        <f aca="false">IF(B900="","",IFERROR(INDEX(Listas!$C$5:$C$40,MATCH(B900,Listas!$B$5:$B$40,0)),"?"))</f>
        <v/>
      </c>
      <c r="D900" s="4"/>
      <c r="E900" s="4"/>
      <c r="F900" s="4"/>
      <c r="G900" s="28"/>
      <c r="H900" s="29" t="str">
        <f aca="false">IF(A900="","",DATE(YEAR(A900),MONTH(A900),1))</f>
        <v/>
      </c>
    </row>
    <row r="901" customFormat="false" ht="15" hidden="false" customHeight="false" outlineLevel="0" collapsed="false">
      <c r="A901" s="26"/>
      <c r="B901" s="4"/>
      <c r="C901" s="27" t="str">
        <f aca="false">IF(B901="","",IFERROR(INDEX(Listas!$C$5:$C$40,MATCH(B901,Listas!$B$5:$B$40,0)),"?"))</f>
        <v/>
      </c>
      <c r="D901" s="4"/>
      <c r="E901" s="4"/>
      <c r="F901" s="4"/>
      <c r="G901" s="28"/>
      <c r="H901" s="29" t="str">
        <f aca="false">IF(A901="","",DATE(YEAR(A901),MONTH(A901),1))</f>
        <v/>
      </c>
    </row>
    <row r="902" customFormat="false" ht="15" hidden="false" customHeight="false" outlineLevel="0" collapsed="false">
      <c r="A902" s="26"/>
      <c r="B902" s="4"/>
      <c r="C902" s="27" t="str">
        <f aca="false">IF(B902="","",IFERROR(INDEX(Listas!$C$5:$C$40,MATCH(B902,Listas!$B$5:$B$40,0)),"?"))</f>
        <v/>
      </c>
      <c r="D902" s="4"/>
      <c r="E902" s="4"/>
      <c r="F902" s="4"/>
      <c r="G902" s="28"/>
      <c r="H902" s="29" t="str">
        <f aca="false">IF(A902="","",DATE(YEAR(A902),MONTH(A902),1))</f>
        <v/>
      </c>
    </row>
    <row r="903" customFormat="false" ht="15" hidden="false" customHeight="false" outlineLevel="0" collapsed="false">
      <c r="A903" s="26"/>
      <c r="B903" s="4"/>
      <c r="C903" s="27" t="str">
        <f aca="false">IF(B903="","",IFERROR(INDEX(Listas!$C$5:$C$40,MATCH(B903,Listas!$B$5:$B$40,0)),"?"))</f>
        <v/>
      </c>
      <c r="D903" s="4"/>
      <c r="E903" s="4"/>
      <c r="F903" s="4"/>
      <c r="G903" s="28"/>
      <c r="H903" s="29" t="str">
        <f aca="false">IF(A903="","",DATE(YEAR(A903),MONTH(A903),1))</f>
        <v/>
      </c>
    </row>
    <row r="904" customFormat="false" ht="15" hidden="false" customHeight="false" outlineLevel="0" collapsed="false">
      <c r="A904" s="26"/>
      <c r="B904" s="4"/>
      <c r="C904" s="27" t="str">
        <f aca="false">IF(B904="","",IFERROR(INDEX(Listas!$C$5:$C$40,MATCH(B904,Listas!$B$5:$B$40,0)),"?"))</f>
        <v/>
      </c>
      <c r="D904" s="4"/>
      <c r="E904" s="4"/>
      <c r="F904" s="4"/>
      <c r="G904" s="28"/>
      <c r="H904" s="29" t="str">
        <f aca="false">IF(A904="","",DATE(YEAR(A904),MONTH(A904),1))</f>
        <v/>
      </c>
    </row>
    <row r="905" customFormat="false" ht="15" hidden="false" customHeight="false" outlineLevel="0" collapsed="false">
      <c r="A905" s="26"/>
      <c r="B905" s="4"/>
      <c r="C905" s="27" t="str">
        <f aca="false">IF(B905="","",IFERROR(INDEX(Listas!$C$5:$C$40,MATCH(B905,Listas!$B$5:$B$40,0)),"?"))</f>
        <v/>
      </c>
      <c r="D905" s="4"/>
      <c r="E905" s="4"/>
      <c r="F905" s="4"/>
      <c r="G905" s="28"/>
      <c r="H905" s="29" t="str">
        <f aca="false">IF(A905="","",DATE(YEAR(A905),MONTH(A905),1))</f>
        <v/>
      </c>
    </row>
    <row r="906" customFormat="false" ht="15" hidden="false" customHeight="false" outlineLevel="0" collapsed="false">
      <c r="A906" s="26"/>
      <c r="B906" s="4"/>
      <c r="C906" s="27" t="str">
        <f aca="false">IF(B906="","",IFERROR(INDEX(Listas!$C$5:$C$40,MATCH(B906,Listas!$B$5:$B$40,0)),"?"))</f>
        <v/>
      </c>
      <c r="D906" s="4"/>
      <c r="E906" s="4"/>
      <c r="F906" s="4"/>
      <c r="G906" s="28"/>
      <c r="H906" s="29" t="str">
        <f aca="false">IF(A906="","",DATE(YEAR(A906),MONTH(A906),1))</f>
        <v/>
      </c>
    </row>
    <row r="907" customFormat="false" ht="15" hidden="false" customHeight="false" outlineLevel="0" collapsed="false">
      <c r="A907" s="26"/>
      <c r="B907" s="4"/>
      <c r="C907" s="27" t="str">
        <f aca="false">IF(B907="","",IFERROR(INDEX(Listas!$C$5:$C$40,MATCH(B907,Listas!$B$5:$B$40,0)),"?"))</f>
        <v/>
      </c>
      <c r="D907" s="4"/>
      <c r="E907" s="4"/>
      <c r="F907" s="4"/>
      <c r="G907" s="28"/>
      <c r="H907" s="29" t="str">
        <f aca="false">IF(A907="","",DATE(YEAR(A907),MONTH(A907),1))</f>
        <v/>
      </c>
    </row>
    <row r="908" customFormat="false" ht="15" hidden="false" customHeight="false" outlineLevel="0" collapsed="false">
      <c r="A908" s="26"/>
      <c r="B908" s="4"/>
      <c r="C908" s="27" t="str">
        <f aca="false">IF(B908="","",IFERROR(INDEX(Listas!$C$5:$C$40,MATCH(B908,Listas!$B$5:$B$40,0)),"?"))</f>
        <v/>
      </c>
      <c r="D908" s="4"/>
      <c r="E908" s="4"/>
      <c r="F908" s="4"/>
      <c r="G908" s="28"/>
      <c r="H908" s="29" t="str">
        <f aca="false">IF(A908="","",DATE(YEAR(A908),MONTH(A908),1))</f>
        <v/>
      </c>
    </row>
    <row r="909" customFormat="false" ht="15" hidden="false" customHeight="false" outlineLevel="0" collapsed="false">
      <c r="A909" s="26"/>
      <c r="B909" s="4"/>
      <c r="C909" s="27" t="str">
        <f aca="false">IF(B909="","",IFERROR(INDEX(Listas!$C$5:$C$40,MATCH(B909,Listas!$B$5:$B$40,0)),"?"))</f>
        <v/>
      </c>
      <c r="D909" s="4"/>
      <c r="E909" s="4"/>
      <c r="F909" s="4"/>
      <c r="G909" s="28"/>
      <c r="H909" s="29" t="str">
        <f aca="false">IF(A909="","",DATE(YEAR(A909),MONTH(A909),1))</f>
        <v/>
      </c>
    </row>
    <row r="910" customFormat="false" ht="15" hidden="false" customHeight="false" outlineLevel="0" collapsed="false">
      <c r="A910" s="26"/>
      <c r="B910" s="4"/>
      <c r="C910" s="27" t="str">
        <f aca="false">IF(B910="","",IFERROR(INDEX(Listas!$C$5:$C$40,MATCH(B910,Listas!$B$5:$B$40,0)),"?"))</f>
        <v/>
      </c>
      <c r="D910" s="4"/>
      <c r="E910" s="4"/>
      <c r="F910" s="4"/>
      <c r="G910" s="28"/>
      <c r="H910" s="29" t="str">
        <f aca="false">IF(A910="","",DATE(YEAR(A910),MONTH(A910),1))</f>
        <v/>
      </c>
    </row>
    <row r="911" customFormat="false" ht="15" hidden="false" customHeight="false" outlineLevel="0" collapsed="false">
      <c r="A911" s="26"/>
      <c r="B911" s="4"/>
      <c r="C911" s="27" t="str">
        <f aca="false">IF(B911="","",IFERROR(INDEX(Listas!$C$5:$C$40,MATCH(B911,Listas!$B$5:$B$40,0)),"?"))</f>
        <v/>
      </c>
      <c r="D911" s="4"/>
      <c r="E911" s="4"/>
      <c r="F911" s="4"/>
      <c r="G911" s="28"/>
      <c r="H911" s="29" t="str">
        <f aca="false">IF(A911="","",DATE(YEAR(A911),MONTH(A911),1))</f>
        <v/>
      </c>
    </row>
    <row r="912" customFormat="false" ht="15" hidden="false" customHeight="false" outlineLevel="0" collapsed="false">
      <c r="A912" s="26"/>
      <c r="B912" s="4"/>
      <c r="C912" s="27" t="str">
        <f aca="false">IF(B912="","",IFERROR(INDEX(Listas!$C$5:$C$40,MATCH(B912,Listas!$B$5:$B$40,0)),"?"))</f>
        <v/>
      </c>
      <c r="D912" s="4"/>
      <c r="E912" s="4"/>
      <c r="F912" s="4"/>
      <c r="G912" s="28"/>
      <c r="H912" s="29" t="str">
        <f aca="false">IF(A912="","",DATE(YEAR(A912),MONTH(A912),1))</f>
        <v/>
      </c>
    </row>
    <row r="913" customFormat="false" ht="15" hidden="false" customHeight="false" outlineLevel="0" collapsed="false">
      <c r="A913" s="26"/>
      <c r="B913" s="4"/>
      <c r="C913" s="27" t="str">
        <f aca="false">IF(B913="","",IFERROR(INDEX(Listas!$C$5:$C$40,MATCH(B913,Listas!$B$5:$B$40,0)),"?"))</f>
        <v/>
      </c>
      <c r="D913" s="4"/>
      <c r="E913" s="4"/>
      <c r="F913" s="4"/>
      <c r="G913" s="28"/>
      <c r="H913" s="29" t="str">
        <f aca="false">IF(A913="","",DATE(YEAR(A913),MONTH(A913),1))</f>
        <v/>
      </c>
    </row>
    <row r="914" customFormat="false" ht="15" hidden="false" customHeight="false" outlineLevel="0" collapsed="false">
      <c r="A914" s="26"/>
      <c r="B914" s="4"/>
      <c r="C914" s="27" t="str">
        <f aca="false">IF(B914="","",IFERROR(INDEX(Listas!$C$5:$C$40,MATCH(B914,Listas!$B$5:$B$40,0)),"?"))</f>
        <v/>
      </c>
      <c r="D914" s="4"/>
      <c r="E914" s="4"/>
      <c r="F914" s="4"/>
      <c r="G914" s="28"/>
      <c r="H914" s="29" t="str">
        <f aca="false">IF(A914="","",DATE(YEAR(A914),MONTH(A914),1))</f>
        <v/>
      </c>
    </row>
    <row r="915" customFormat="false" ht="15" hidden="false" customHeight="false" outlineLevel="0" collapsed="false">
      <c r="A915" s="26"/>
      <c r="B915" s="4"/>
      <c r="C915" s="27" t="str">
        <f aca="false">IF(B915="","",IFERROR(INDEX(Listas!$C$5:$C$40,MATCH(B915,Listas!$B$5:$B$40,0)),"?"))</f>
        <v/>
      </c>
      <c r="D915" s="4"/>
      <c r="E915" s="4"/>
      <c r="F915" s="4"/>
      <c r="G915" s="28"/>
      <c r="H915" s="29" t="str">
        <f aca="false">IF(A915="","",DATE(YEAR(A915),MONTH(A915),1))</f>
        <v/>
      </c>
    </row>
    <row r="916" customFormat="false" ht="15" hidden="false" customHeight="false" outlineLevel="0" collapsed="false">
      <c r="A916" s="26"/>
      <c r="B916" s="4"/>
      <c r="C916" s="27" t="str">
        <f aca="false">IF(B916="","",IFERROR(INDEX(Listas!$C$5:$C$40,MATCH(B916,Listas!$B$5:$B$40,0)),"?"))</f>
        <v/>
      </c>
      <c r="D916" s="4"/>
      <c r="E916" s="4"/>
      <c r="F916" s="4"/>
      <c r="G916" s="28"/>
      <c r="H916" s="29" t="str">
        <f aca="false">IF(A916="","",DATE(YEAR(A916),MONTH(A916),1))</f>
        <v/>
      </c>
    </row>
    <row r="917" customFormat="false" ht="15" hidden="false" customHeight="false" outlineLevel="0" collapsed="false">
      <c r="A917" s="26"/>
      <c r="B917" s="4"/>
      <c r="C917" s="27" t="str">
        <f aca="false">IF(B917="","",IFERROR(INDEX(Listas!$C$5:$C$40,MATCH(B917,Listas!$B$5:$B$40,0)),"?"))</f>
        <v/>
      </c>
      <c r="D917" s="4"/>
      <c r="E917" s="4"/>
      <c r="F917" s="4"/>
      <c r="G917" s="28"/>
      <c r="H917" s="29" t="str">
        <f aca="false">IF(A917="","",DATE(YEAR(A917),MONTH(A917),1))</f>
        <v/>
      </c>
    </row>
    <row r="918" customFormat="false" ht="15" hidden="false" customHeight="false" outlineLevel="0" collapsed="false">
      <c r="A918" s="26"/>
      <c r="B918" s="4"/>
      <c r="C918" s="27" t="str">
        <f aca="false">IF(B918="","",IFERROR(INDEX(Listas!$C$5:$C$40,MATCH(B918,Listas!$B$5:$B$40,0)),"?"))</f>
        <v/>
      </c>
      <c r="D918" s="4"/>
      <c r="E918" s="4"/>
      <c r="F918" s="4"/>
      <c r="G918" s="28"/>
      <c r="H918" s="29" t="str">
        <f aca="false">IF(A918="","",DATE(YEAR(A918),MONTH(A918),1))</f>
        <v/>
      </c>
    </row>
    <row r="919" customFormat="false" ht="15" hidden="false" customHeight="false" outlineLevel="0" collapsed="false">
      <c r="A919" s="26"/>
      <c r="B919" s="4"/>
      <c r="C919" s="27" t="str">
        <f aca="false">IF(B919="","",IFERROR(INDEX(Listas!$C$5:$C$40,MATCH(B919,Listas!$B$5:$B$40,0)),"?"))</f>
        <v/>
      </c>
      <c r="D919" s="4"/>
      <c r="E919" s="4"/>
      <c r="F919" s="4"/>
      <c r="G919" s="28"/>
      <c r="H919" s="29" t="str">
        <f aca="false">IF(A919="","",DATE(YEAR(A919),MONTH(A919),1))</f>
        <v/>
      </c>
    </row>
    <row r="920" customFormat="false" ht="15" hidden="false" customHeight="false" outlineLevel="0" collapsed="false">
      <c r="A920" s="26"/>
      <c r="B920" s="4"/>
      <c r="C920" s="27" t="str">
        <f aca="false">IF(B920="","",IFERROR(INDEX(Listas!$C$5:$C$40,MATCH(B920,Listas!$B$5:$B$40,0)),"?"))</f>
        <v/>
      </c>
      <c r="D920" s="4"/>
      <c r="E920" s="4"/>
      <c r="F920" s="4"/>
      <c r="G920" s="28"/>
      <c r="H920" s="29" t="str">
        <f aca="false">IF(A920="","",DATE(YEAR(A920),MONTH(A920),1))</f>
        <v/>
      </c>
    </row>
    <row r="921" customFormat="false" ht="15" hidden="false" customHeight="false" outlineLevel="0" collapsed="false">
      <c r="A921" s="26"/>
      <c r="B921" s="4"/>
      <c r="C921" s="27" t="str">
        <f aca="false">IF(B921="","",IFERROR(INDEX(Listas!$C$5:$C$40,MATCH(B921,Listas!$B$5:$B$40,0)),"?"))</f>
        <v/>
      </c>
      <c r="D921" s="4"/>
      <c r="E921" s="4"/>
      <c r="F921" s="4"/>
      <c r="G921" s="28"/>
      <c r="H921" s="29" t="str">
        <f aca="false">IF(A921="","",DATE(YEAR(A921),MONTH(A921),1))</f>
        <v/>
      </c>
    </row>
    <row r="922" customFormat="false" ht="15" hidden="false" customHeight="false" outlineLevel="0" collapsed="false">
      <c r="A922" s="26"/>
      <c r="B922" s="4"/>
      <c r="C922" s="27" t="str">
        <f aca="false">IF(B922="","",IFERROR(INDEX(Listas!$C$5:$C$40,MATCH(B922,Listas!$B$5:$B$40,0)),"?"))</f>
        <v/>
      </c>
      <c r="D922" s="4"/>
      <c r="E922" s="4"/>
      <c r="F922" s="4"/>
      <c r="G922" s="28"/>
      <c r="H922" s="29" t="str">
        <f aca="false">IF(A922="","",DATE(YEAR(A922),MONTH(A922),1))</f>
        <v/>
      </c>
    </row>
    <row r="923" customFormat="false" ht="15" hidden="false" customHeight="false" outlineLevel="0" collapsed="false">
      <c r="A923" s="26"/>
      <c r="B923" s="4"/>
      <c r="C923" s="27" t="str">
        <f aca="false">IF(B923="","",IFERROR(INDEX(Listas!$C$5:$C$40,MATCH(B923,Listas!$B$5:$B$40,0)),"?"))</f>
        <v/>
      </c>
      <c r="D923" s="4"/>
      <c r="E923" s="4"/>
      <c r="F923" s="4"/>
      <c r="G923" s="28"/>
      <c r="H923" s="29" t="str">
        <f aca="false">IF(A923="","",DATE(YEAR(A923),MONTH(A923),1))</f>
        <v/>
      </c>
    </row>
    <row r="924" customFormat="false" ht="15" hidden="false" customHeight="false" outlineLevel="0" collapsed="false">
      <c r="A924" s="26"/>
      <c r="B924" s="4"/>
      <c r="C924" s="27" t="str">
        <f aca="false">IF(B924="","",IFERROR(INDEX(Listas!$C$5:$C$40,MATCH(B924,Listas!$B$5:$B$40,0)),"?"))</f>
        <v/>
      </c>
      <c r="D924" s="4"/>
      <c r="E924" s="4"/>
      <c r="F924" s="4"/>
      <c r="G924" s="28"/>
      <c r="H924" s="29" t="str">
        <f aca="false">IF(A924="","",DATE(YEAR(A924),MONTH(A924),1))</f>
        <v/>
      </c>
    </row>
    <row r="925" customFormat="false" ht="15" hidden="false" customHeight="false" outlineLevel="0" collapsed="false">
      <c r="A925" s="26"/>
      <c r="B925" s="4"/>
      <c r="C925" s="27" t="str">
        <f aca="false">IF(B925="","",IFERROR(INDEX(Listas!$C$5:$C$40,MATCH(B925,Listas!$B$5:$B$40,0)),"?"))</f>
        <v/>
      </c>
      <c r="D925" s="4"/>
      <c r="E925" s="4"/>
      <c r="F925" s="4"/>
      <c r="G925" s="28"/>
      <c r="H925" s="29" t="str">
        <f aca="false">IF(A925="","",DATE(YEAR(A925),MONTH(A925),1))</f>
        <v/>
      </c>
    </row>
    <row r="926" customFormat="false" ht="15" hidden="false" customHeight="false" outlineLevel="0" collapsed="false">
      <c r="A926" s="26"/>
      <c r="B926" s="4"/>
      <c r="C926" s="27" t="str">
        <f aca="false">IF(B926="","",IFERROR(INDEX(Listas!$C$5:$C$40,MATCH(B926,Listas!$B$5:$B$40,0)),"?"))</f>
        <v/>
      </c>
      <c r="D926" s="4"/>
      <c r="E926" s="4"/>
      <c r="F926" s="4"/>
      <c r="G926" s="28"/>
      <c r="H926" s="29" t="str">
        <f aca="false">IF(A926="","",DATE(YEAR(A926),MONTH(A926),1))</f>
        <v/>
      </c>
    </row>
    <row r="927" customFormat="false" ht="15" hidden="false" customHeight="false" outlineLevel="0" collapsed="false">
      <c r="A927" s="26"/>
      <c r="B927" s="4"/>
      <c r="C927" s="27" t="str">
        <f aca="false">IF(B927="","",IFERROR(INDEX(Listas!$C$5:$C$40,MATCH(B927,Listas!$B$5:$B$40,0)),"?"))</f>
        <v/>
      </c>
      <c r="D927" s="4"/>
      <c r="E927" s="4"/>
      <c r="F927" s="4"/>
      <c r="G927" s="28"/>
      <c r="H927" s="29" t="str">
        <f aca="false">IF(A927="","",DATE(YEAR(A927),MONTH(A927),1))</f>
        <v/>
      </c>
    </row>
    <row r="928" customFormat="false" ht="15" hidden="false" customHeight="false" outlineLevel="0" collapsed="false">
      <c r="A928" s="26"/>
      <c r="B928" s="4"/>
      <c r="C928" s="27" t="str">
        <f aca="false">IF(B928="","",IFERROR(INDEX(Listas!$C$5:$C$40,MATCH(B928,Listas!$B$5:$B$40,0)),"?"))</f>
        <v/>
      </c>
      <c r="D928" s="4"/>
      <c r="E928" s="4"/>
      <c r="F928" s="4"/>
      <c r="G928" s="28"/>
      <c r="H928" s="29" t="str">
        <f aca="false">IF(A928="","",DATE(YEAR(A928),MONTH(A928),1))</f>
        <v/>
      </c>
    </row>
    <row r="929" customFormat="false" ht="15" hidden="false" customHeight="false" outlineLevel="0" collapsed="false">
      <c r="A929" s="26"/>
      <c r="B929" s="4"/>
      <c r="C929" s="27" t="str">
        <f aca="false">IF(B929="","",IFERROR(INDEX(Listas!$C$5:$C$40,MATCH(B929,Listas!$B$5:$B$40,0)),"?"))</f>
        <v/>
      </c>
      <c r="D929" s="4"/>
      <c r="E929" s="4"/>
      <c r="F929" s="4"/>
      <c r="G929" s="28"/>
      <c r="H929" s="29" t="str">
        <f aca="false">IF(A929="","",DATE(YEAR(A929),MONTH(A929),1))</f>
        <v/>
      </c>
    </row>
    <row r="930" customFormat="false" ht="15" hidden="false" customHeight="false" outlineLevel="0" collapsed="false">
      <c r="A930" s="26"/>
      <c r="B930" s="4"/>
      <c r="C930" s="27" t="str">
        <f aca="false">IF(B930="","",IFERROR(INDEX(Listas!$C$5:$C$40,MATCH(B930,Listas!$B$5:$B$40,0)),"?"))</f>
        <v/>
      </c>
      <c r="D930" s="4"/>
      <c r="E930" s="4"/>
      <c r="F930" s="4"/>
      <c r="G930" s="28"/>
      <c r="H930" s="29" t="str">
        <f aca="false">IF(A930="","",DATE(YEAR(A930),MONTH(A930),1))</f>
        <v/>
      </c>
    </row>
    <row r="931" customFormat="false" ht="15" hidden="false" customHeight="false" outlineLevel="0" collapsed="false">
      <c r="A931" s="26"/>
      <c r="B931" s="4"/>
      <c r="C931" s="27" t="str">
        <f aca="false">IF(B931="","",IFERROR(INDEX(Listas!$C$5:$C$40,MATCH(B931,Listas!$B$5:$B$40,0)),"?"))</f>
        <v/>
      </c>
      <c r="D931" s="4"/>
      <c r="E931" s="4"/>
      <c r="F931" s="4"/>
      <c r="G931" s="28"/>
      <c r="H931" s="29" t="str">
        <f aca="false">IF(A931="","",DATE(YEAR(A931),MONTH(A931),1))</f>
        <v/>
      </c>
    </row>
    <row r="932" customFormat="false" ht="15" hidden="false" customHeight="false" outlineLevel="0" collapsed="false">
      <c r="A932" s="26"/>
      <c r="B932" s="4"/>
      <c r="C932" s="27" t="str">
        <f aca="false">IF(B932="","",IFERROR(INDEX(Listas!$C$5:$C$40,MATCH(B932,Listas!$B$5:$B$40,0)),"?"))</f>
        <v/>
      </c>
      <c r="D932" s="4"/>
      <c r="E932" s="4"/>
      <c r="F932" s="4"/>
      <c r="G932" s="28"/>
      <c r="H932" s="29" t="str">
        <f aca="false">IF(A932="","",DATE(YEAR(A932),MONTH(A932),1))</f>
        <v/>
      </c>
    </row>
    <row r="933" customFormat="false" ht="15" hidden="false" customHeight="false" outlineLevel="0" collapsed="false">
      <c r="A933" s="26"/>
      <c r="B933" s="4"/>
      <c r="C933" s="27" t="str">
        <f aca="false">IF(B933="","",IFERROR(INDEX(Listas!$C$5:$C$40,MATCH(B933,Listas!$B$5:$B$40,0)),"?"))</f>
        <v/>
      </c>
      <c r="D933" s="4"/>
      <c r="E933" s="4"/>
      <c r="F933" s="4"/>
      <c r="G933" s="28"/>
      <c r="H933" s="29" t="str">
        <f aca="false">IF(A933="","",DATE(YEAR(A933),MONTH(A933),1))</f>
        <v/>
      </c>
    </row>
    <row r="934" customFormat="false" ht="15" hidden="false" customHeight="false" outlineLevel="0" collapsed="false">
      <c r="A934" s="26"/>
      <c r="B934" s="4"/>
      <c r="C934" s="27" t="str">
        <f aca="false">IF(B934="","",IFERROR(INDEX(Listas!$C$5:$C$40,MATCH(B934,Listas!$B$5:$B$40,0)),"?"))</f>
        <v/>
      </c>
      <c r="D934" s="4"/>
      <c r="E934" s="4"/>
      <c r="F934" s="4"/>
      <c r="G934" s="28"/>
      <c r="H934" s="29" t="str">
        <f aca="false">IF(A934="","",DATE(YEAR(A934),MONTH(A934),1))</f>
        <v/>
      </c>
    </row>
    <row r="935" customFormat="false" ht="15" hidden="false" customHeight="false" outlineLevel="0" collapsed="false">
      <c r="A935" s="26"/>
      <c r="B935" s="4"/>
      <c r="C935" s="27" t="str">
        <f aca="false">IF(B935="","",IFERROR(INDEX(Listas!$C$5:$C$40,MATCH(B935,Listas!$B$5:$B$40,0)),"?"))</f>
        <v/>
      </c>
      <c r="D935" s="4"/>
      <c r="E935" s="4"/>
      <c r="F935" s="4"/>
      <c r="G935" s="28"/>
      <c r="H935" s="29" t="str">
        <f aca="false">IF(A935="","",DATE(YEAR(A935),MONTH(A935),1))</f>
        <v/>
      </c>
    </row>
    <row r="936" customFormat="false" ht="15" hidden="false" customHeight="false" outlineLevel="0" collapsed="false">
      <c r="A936" s="26"/>
      <c r="B936" s="4"/>
      <c r="C936" s="27" t="str">
        <f aca="false">IF(B936="","",IFERROR(INDEX(Listas!$C$5:$C$40,MATCH(B936,Listas!$B$5:$B$40,0)),"?"))</f>
        <v/>
      </c>
      <c r="D936" s="4"/>
      <c r="E936" s="4"/>
      <c r="F936" s="4"/>
      <c r="G936" s="28"/>
      <c r="H936" s="29" t="str">
        <f aca="false">IF(A936="","",DATE(YEAR(A936),MONTH(A936),1))</f>
        <v/>
      </c>
    </row>
    <row r="937" customFormat="false" ht="15" hidden="false" customHeight="false" outlineLevel="0" collapsed="false">
      <c r="A937" s="26"/>
      <c r="B937" s="4"/>
      <c r="C937" s="27" t="str">
        <f aca="false">IF(B937="","",IFERROR(INDEX(Listas!$C$5:$C$40,MATCH(B937,Listas!$B$5:$B$40,0)),"?"))</f>
        <v/>
      </c>
      <c r="D937" s="4"/>
      <c r="E937" s="4"/>
      <c r="F937" s="4"/>
      <c r="G937" s="28"/>
      <c r="H937" s="29" t="str">
        <f aca="false">IF(A937="","",DATE(YEAR(A937),MONTH(A937),1))</f>
        <v/>
      </c>
    </row>
    <row r="938" customFormat="false" ht="15" hidden="false" customHeight="false" outlineLevel="0" collapsed="false">
      <c r="A938" s="26"/>
      <c r="B938" s="4"/>
      <c r="C938" s="27" t="str">
        <f aca="false">IF(B938="","",IFERROR(INDEX(Listas!$C$5:$C$40,MATCH(B938,Listas!$B$5:$B$40,0)),"?"))</f>
        <v/>
      </c>
      <c r="D938" s="4"/>
      <c r="E938" s="4"/>
      <c r="F938" s="4"/>
      <c r="G938" s="28"/>
      <c r="H938" s="29" t="str">
        <f aca="false">IF(A938="","",DATE(YEAR(A938),MONTH(A938),1))</f>
        <v/>
      </c>
    </row>
    <row r="939" customFormat="false" ht="15" hidden="false" customHeight="false" outlineLevel="0" collapsed="false">
      <c r="A939" s="26"/>
      <c r="B939" s="4"/>
      <c r="C939" s="27" t="str">
        <f aca="false">IF(B939="","",IFERROR(INDEX(Listas!$C$5:$C$40,MATCH(B939,Listas!$B$5:$B$40,0)),"?"))</f>
        <v/>
      </c>
      <c r="D939" s="4"/>
      <c r="E939" s="4"/>
      <c r="F939" s="4"/>
      <c r="G939" s="28"/>
      <c r="H939" s="29" t="str">
        <f aca="false">IF(A939="","",DATE(YEAR(A939),MONTH(A939),1))</f>
        <v/>
      </c>
    </row>
    <row r="940" customFormat="false" ht="15" hidden="false" customHeight="false" outlineLevel="0" collapsed="false">
      <c r="A940" s="26"/>
      <c r="B940" s="4"/>
      <c r="C940" s="27" t="str">
        <f aca="false">IF(B940="","",IFERROR(INDEX(Listas!$C$5:$C$40,MATCH(B940,Listas!$B$5:$B$40,0)),"?"))</f>
        <v/>
      </c>
      <c r="D940" s="4"/>
      <c r="E940" s="4"/>
      <c r="F940" s="4"/>
      <c r="G940" s="28"/>
      <c r="H940" s="29" t="str">
        <f aca="false">IF(A940="","",DATE(YEAR(A940),MONTH(A940),1))</f>
        <v/>
      </c>
    </row>
    <row r="941" customFormat="false" ht="15" hidden="false" customHeight="false" outlineLevel="0" collapsed="false">
      <c r="A941" s="26"/>
      <c r="B941" s="4"/>
      <c r="C941" s="27" t="str">
        <f aca="false">IF(B941="","",IFERROR(INDEX(Listas!$C$5:$C$40,MATCH(B941,Listas!$B$5:$B$40,0)),"?"))</f>
        <v/>
      </c>
      <c r="D941" s="4"/>
      <c r="E941" s="4"/>
      <c r="F941" s="4"/>
      <c r="G941" s="28"/>
      <c r="H941" s="29" t="str">
        <f aca="false">IF(A941="","",DATE(YEAR(A941),MONTH(A941),1))</f>
        <v/>
      </c>
    </row>
    <row r="942" customFormat="false" ht="15" hidden="false" customHeight="false" outlineLevel="0" collapsed="false">
      <c r="A942" s="26"/>
      <c r="B942" s="4"/>
      <c r="C942" s="27" t="str">
        <f aca="false">IF(B942="","",IFERROR(INDEX(Listas!$C$5:$C$40,MATCH(B942,Listas!$B$5:$B$40,0)),"?"))</f>
        <v/>
      </c>
      <c r="D942" s="4"/>
      <c r="E942" s="4"/>
      <c r="F942" s="4"/>
      <c r="G942" s="28"/>
      <c r="H942" s="29" t="str">
        <f aca="false">IF(A942="","",DATE(YEAR(A942),MONTH(A942),1))</f>
        <v/>
      </c>
    </row>
    <row r="943" customFormat="false" ht="15" hidden="false" customHeight="false" outlineLevel="0" collapsed="false">
      <c r="A943" s="26"/>
      <c r="B943" s="4"/>
      <c r="C943" s="27" t="str">
        <f aca="false">IF(B943="","",IFERROR(INDEX(Listas!$C$5:$C$40,MATCH(B943,Listas!$B$5:$B$40,0)),"?"))</f>
        <v/>
      </c>
      <c r="D943" s="4"/>
      <c r="E943" s="4"/>
      <c r="F943" s="4"/>
      <c r="G943" s="28"/>
      <c r="H943" s="29" t="str">
        <f aca="false">IF(A943="","",DATE(YEAR(A943),MONTH(A943),1))</f>
        <v/>
      </c>
    </row>
    <row r="944" customFormat="false" ht="15" hidden="false" customHeight="false" outlineLevel="0" collapsed="false">
      <c r="A944" s="26"/>
      <c r="B944" s="4"/>
      <c r="C944" s="27" t="str">
        <f aca="false">IF(B944="","",IFERROR(INDEX(Listas!$C$5:$C$40,MATCH(B944,Listas!$B$5:$B$40,0)),"?"))</f>
        <v/>
      </c>
      <c r="D944" s="4"/>
      <c r="E944" s="4"/>
      <c r="F944" s="4"/>
      <c r="G944" s="28"/>
      <c r="H944" s="29" t="str">
        <f aca="false">IF(A944="","",DATE(YEAR(A944),MONTH(A944),1))</f>
        <v/>
      </c>
    </row>
    <row r="945" customFormat="false" ht="15" hidden="false" customHeight="false" outlineLevel="0" collapsed="false">
      <c r="A945" s="26"/>
      <c r="B945" s="4"/>
      <c r="C945" s="27" t="str">
        <f aca="false">IF(B945="","",IFERROR(INDEX(Listas!$C$5:$C$40,MATCH(B945,Listas!$B$5:$B$40,0)),"?"))</f>
        <v/>
      </c>
      <c r="D945" s="4"/>
      <c r="E945" s="4"/>
      <c r="F945" s="4"/>
      <c r="G945" s="28"/>
      <c r="H945" s="29" t="str">
        <f aca="false">IF(A945="","",DATE(YEAR(A945),MONTH(A945),1))</f>
        <v/>
      </c>
    </row>
    <row r="946" customFormat="false" ht="15" hidden="false" customHeight="false" outlineLevel="0" collapsed="false">
      <c r="A946" s="26"/>
      <c r="B946" s="4"/>
      <c r="C946" s="27" t="str">
        <f aca="false">IF(B946="","",IFERROR(INDEX(Listas!$C$5:$C$40,MATCH(B946,Listas!$B$5:$B$40,0)),"?"))</f>
        <v/>
      </c>
      <c r="D946" s="4"/>
      <c r="E946" s="4"/>
      <c r="F946" s="4"/>
      <c r="G946" s="28"/>
      <c r="H946" s="29" t="str">
        <f aca="false">IF(A946="","",DATE(YEAR(A946),MONTH(A946),1))</f>
        <v/>
      </c>
    </row>
    <row r="947" customFormat="false" ht="15" hidden="false" customHeight="false" outlineLevel="0" collapsed="false">
      <c r="A947" s="26"/>
      <c r="B947" s="4"/>
      <c r="C947" s="27" t="str">
        <f aca="false">IF(B947="","",IFERROR(INDEX(Listas!$C$5:$C$40,MATCH(B947,Listas!$B$5:$B$40,0)),"?"))</f>
        <v/>
      </c>
      <c r="D947" s="4"/>
      <c r="E947" s="4"/>
      <c r="F947" s="4"/>
      <c r="G947" s="28"/>
      <c r="H947" s="29" t="str">
        <f aca="false">IF(A947="","",DATE(YEAR(A947),MONTH(A947),1))</f>
        <v/>
      </c>
    </row>
    <row r="948" customFormat="false" ht="15" hidden="false" customHeight="false" outlineLevel="0" collapsed="false">
      <c r="A948" s="26"/>
      <c r="B948" s="4"/>
      <c r="C948" s="27" t="str">
        <f aca="false">IF(B948="","",IFERROR(INDEX(Listas!$C$5:$C$40,MATCH(B948,Listas!$B$5:$B$40,0)),"?"))</f>
        <v/>
      </c>
      <c r="D948" s="4"/>
      <c r="E948" s="4"/>
      <c r="F948" s="4"/>
      <c r="G948" s="28"/>
      <c r="H948" s="29" t="str">
        <f aca="false">IF(A948="","",DATE(YEAR(A948),MONTH(A948),1))</f>
        <v/>
      </c>
    </row>
    <row r="949" customFormat="false" ht="15" hidden="false" customHeight="false" outlineLevel="0" collapsed="false">
      <c r="A949" s="26"/>
      <c r="B949" s="4"/>
      <c r="C949" s="27" t="str">
        <f aca="false">IF(B949="","",IFERROR(INDEX(Listas!$C$5:$C$40,MATCH(B949,Listas!$B$5:$B$40,0)),"?"))</f>
        <v/>
      </c>
      <c r="D949" s="4"/>
      <c r="E949" s="4"/>
      <c r="F949" s="4"/>
      <c r="G949" s="28"/>
      <c r="H949" s="29" t="str">
        <f aca="false">IF(A949="","",DATE(YEAR(A949),MONTH(A949),1))</f>
        <v/>
      </c>
    </row>
    <row r="950" customFormat="false" ht="15" hidden="false" customHeight="false" outlineLevel="0" collapsed="false">
      <c r="A950" s="26"/>
      <c r="B950" s="4"/>
      <c r="C950" s="27" t="str">
        <f aca="false">IF(B950="","",IFERROR(INDEX(Listas!$C$5:$C$40,MATCH(B950,Listas!$B$5:$B$40,0)),"?"))</f>
        <v/>
      </c>
      <c r="D950" s="4"/>
      <c r="E950" s="4"/>
      <c r="F950" s="4"/>
      <c r="G950" s="28"/>
      <c r="H950" s="29" t="str">
        <f aca="false">IF(A950="","",DATE(YEAR(A950),MONTH(A950),1))</f>
        <v/>
      </c>
    </row>
    <row r="951" customFormat="false" ht="15" hidden="false" customHeight="false" outlineLevel="0" collapsed="false">
      <c r="A951" s="26"/>
      <c r="B951" s="4"/>
      <c r="C951" s="27" t="str">
        <f aca="false">IF(B951="","",IFERROR(INDEX(Listas!$C$5:$C$40,MATCH(B951,Listas!$B$5:$B$40,0)),"?"))</f>
        <v/>
      </c>
      <c r="D951" s="4"/>
      <c r="E951" s="4"/>
      <c r="F951" s="4"/>
      <c r="G951" s="28"/>
      <c r="H951" s="29" t="str">
        <f aca="false">IF(A951="","",DATE(YEAR(A951),MONTH(A951),1))</f>
        <v/>
      </c>
    </row>
    <row r="952" customFormat="false" ht="15" hidden="false" customHeight="false" outlineLevel="0" collapsed="false">
      <c r="A952" s="26"/>
      <c r="B952" s="4"/>
      <c r="C952" s="27" t="str">
        <f aca="false">IF(B952="","",IFERROR(INDEX(Listas!$C$5:$C$40,MATCH(B952,Listas!$B$5:$B$40,0)),"?"))</f>
        <v/>
      </c>
      <c r="D952" s="4"/>
      <c r="E952" s="4"/>
      <c r="F952" s="4"/>
      <c r="G952" s="28"/>
      <c r="H952" s="29" t="str">
        <f aca="false">IF(A952="","",DATE(YEAR(A952),MONTH(A952),1))</f>
        <v/>
      </c>
    </row>
    <row r="953" customFormat="false" ht="15" hidden="false" customHeight="false" outlineLevel="0" collapsed="false">
      <c r="A953" s="26"/>
      <c r="B953" s="4"/>
      <c r="C953" s="27" t="str">
        <f aca="false">IF(B953="","",IFERROR(INDEX(Listas!$C$5:$C$40,MATCH(B953,Listas!$B$5:$B$40,0)),"?"))</f>
        <v/>
      </c>
      <c r="D953" s="4"/>
      <c r="E953" s="4"/>
      <c r="F953" s="4"/>
      <c r="G953" s="28"/>
      <c r="H953" s="29" t="str">
        <f aca="false">IF(A953="","",DATE(YEAR(A953),MONTH(A953),1))</f>
        <v/>
      </c>
    </row>
    <row r="954" customFormat="false" ht="15" hidden="false" customHeight="false" outlineLevel="0" collapsed="false">
      <c r="A954" s="26"/>
      <c r="B954" s="4"/>
      <c r="C954" s="27" t="str">
        <f aca="false">IF(B954="","",IFERROR(INDEX(Listas!$C$5:$C$40,MATCH(B954,Listas!$B$5:$B$40,0)),"?"))</f>
        <v/>
      </c>
      <c r="D954" s="4"/>
      <c r="E954" s="4"/>
      <c r="F954" s="4"/>
      <c r="G954" s="28"/>
      <c r="H954" s="29" t="str">
        <f aca="false">IF(A954="","",DATE(YEAR(A954),MONTH(A954),1))</f>
        <v/>
      </c>
    </row>
    <row r="955" customFormat="false" ht="15" hidden="false" customHeight="false" outlineLevel="0" collapsed="false">
      <c r="A955" s="26"/>
      <c r="B955" s="4"/>
      <c r="C955" s="27" t="str">
        <f aca="false">IF(B955="","",IFERROR(INDEX(Listas!$C$5:$C$40,MATCH(B955,Listas!$B$5:$B$40,0)),"?"))</f>
        <v/>
      </c>
      <c r="D955" s="4"/>
      <c r="E955" s="4"/>
      <c r="F955" s="4"/>
      <c r="G955" s="28"/>
      <c r="H955" s="29" t="str">
        <f aca="false">IF(A955="","",DATE(YEAR(A955),MONTH(A955),1))</f>
        <v/>
      </c>
    </row>
    <row r="956" customFormat="false" ht="15" hidden="false" customHeight="false" outlineLevel="0" collapsed="false">
      <c r="A956" s="26"/>
      <c r="B956" s="4"/>
      <c r="C956" s="27" t="str">
        <f aca="false">IF(B956="","",IFERROR(INDEX(Listas!$C$5:$C$40,MATCH(B956,Listas!$B$5:$B$40,0)),"?"))</f>
        <v/>
      </c>
      <c r="D956" s="4"/>
      <c r="E956" s="4"/>
      <c r="F956" s="4"/>
      <c r="G956" s="28"/>
      <c r="H956" s="29" t="str">
        <f aca="false">IF(A956="","",DATE(YEAR(A956),MONTH(A956),1))</f>
        <v/>
      </c>
    </row>
    <row r="957" customFormat="false" ht="15" hidden="false" customHeight="false" outlineLevel="0" collapsed="false">
      <c r="A957" s="26"/>
      <c r="B957" s="4"/>
      <c r="C957" s="27" t="str">
        <f aca="false">IF(B957="","",IFERROR(INDEX(Listas!$C$5:$C$40,MATCH(B957,Listas!$B$5:$B$40,0)),"?"))</f>
        <v/>
      </c>
      <c r="D957" s="4"/>
      <c r="E957" s="4"/>
      <c r="F957" s="4"/>
      <c r="G957" s="28"/>
      <c r="H957" s="29" t="str">
        <f aca="false">IF(A957="","",DATE(YEAR(A957),MONTH(A957),1))</f>
        <v/>
      </c>
    </row>
    <row r="958" customFormat="false" ht="15" hidden="false" customHeight="false" outlineLevel="0" collapsed="false">
      <c r="A958" s="26"/>
      <c r="B958" s="4"/>
      <c r="C958" s="27" t="str">
        <f aca="false">IF(B958="","",IFERROR(INDEX(Listas!$C$5:$C$40,MATCH(B958,Listas!$B$5:$B$40,0)),"?"))</f>
        <v/>
      </c>
      <c r="D958" s="4"/>
      <c r="E958" s="4"/>
      <c r="F958" s="4"/>
      <c r="G958" s="28"/>
      <c r="H958" s="29" t="str">
        <f aca="false">IF(A958="","",DATE(YEAR(A958),MONTH(A958),1))</f>
        <v/>
      </c>
    </row>
    <row r="959" customFormat="false" ht="15" hidden="false" customHeight="false" outlineLevel="0" collapsed="false">
      <c r="A959" s="26"/>
      <c r="B959" s="4"/>
      <c r="C959" s="27" t="str">
        <f aca="false">IF(B959="","",IFERROR(INDEX(Listas!$C$5:$C$40,MATCH(B959,Listas!$B$5:$B$40,0)),"?"))</f>
        <v/>
      </c>
      <c r="D959" s="4"/>
      <c r="E959" s="4"/>
      <c r="F959" s="4"/>
      <c r="G959" s="28"/>
      <c r="H959" s="29" t="str">
        <f aca="false">IF(A959="","",DATE(YEAR(A959),MONTH(A959),1))</f>
        <v/>
      </c>
    </row>
    <row r="960" customFormat="false" ht="15" hidden="false" customHeight="false" outlineLevel="0" collapsed="false">
      <c r="A960" s="26"/>
      <c r="B960" s="4"/>
      <c r="C960" s="27" t="str">
        <f aca="false">IF(B960="","",IFERROR(INDEX(Listas!$C$5:$C$40,MATCH(B960,Listas!$B$5:$B$40,0)),"?"))</f>
        <v/>
      </c>
      <c r="D960" s="4"/>
      <c r="E960" s="4"/>
      <c r="F960" s="4"/>
      <c r="G960" s="28"/>
      <c r="H960" s="29" t="str">
        <f aca="false">IF(A960="","",DATE(YEAR(A960),MONTH(A960),1))</f>
        <v/>
      </c>
    </row>
    <row r="961" customFormat="false" ht="15" hidden="false" customHeight="false" outlineLevel="0" collapsed="false">
      <c r="A961" s="26"/>
      <c r="B961" s="4"/>
      <c r="C961" s="27" t="str">
        <f aca="false">IF(B961="","",IFERROR(INDEX(Listas!$C$5:$C$40,MATCH(B961,Listas!$B$5:$B$40,0)),"?"))</f>
        <v/>
      </c>
      <c r="D961" s="4"/>
      <c r="E961" s="4"/>
      <c r="F961" s="4"/>
      <c r="G961" s="28"/>
      <c r="H961" s="29" t="str">
        <f aca="false">IF(A961="","",DATE(YEAR(A961),MONTH(A961),1))</f>
        <v/>
      </c>
    </row>
    <row r="962" customFormat="false" ht="15" hidden="false" customHeight="false" outlineLevel="0" collapsed="false">
      <c r="A962" s="26"/>
      <c r="B962" s="4"/>
      <c r="C962" s="27" t="str">
        <f aca="false">IF(B962="","",IFERROR(INDEX(Listas!$C$5:$C$40,MATCH(B962,Listas!$B$5:$B$40,0)),"?"))</f>
        <v/>
      </c>
      <c r="D962" s="4"/>
      <c r="E962" s="4"/>
      <c r="F962" s="4"/>
      <c r="G962" s="28"/>
      <c r="H962" s="29" t="str">
        <f aca="false">IF(A962="","",DATE(YEAR(A962),MONTH(A962),1))</f>
        <v/>
      </c>
    </row>
    <row r="963" customFormat="false" ht="15" hidden="false" customHeight="false" outlineLevel="0" collapsed="false">
      <c r="A963" s="26"/>
      <c r="B963" s="4"/>
      <c r="C963" s="27" t="str">
        <f aca="false">IF(B963="","",IFERROR(INDEX(Listas!$C$5:$C$40,MATCH(B963,Listas!$B$5:$B$40,0)),"?"))</f>
        <v/>
      </c>
      <c r="D963" s="4"/>
      <c r="E963" s="4"/>
      <c r="F963" s="4"/>
      <c r="G963" s="28"/>
      <c r="H963" s="29" t="str">
        <f aca="false">IF(A963="","",DATE(YEAR(A963),MONTH(A963),1))</f>
        <v/>
      </c>
    </row>
    <row r="964" customFormat="false" ht="15" hidden="false" customHeight="false" outlineLevel="0" collapsed="false">
      <c r="A964" s="26"/>
      <c r="B964" s="4"/>
      <c r="C964" s="27" t="str">
        <f aca="false">IF(B964="","",IFERROR(INDEX(Listas!$C$5:$C$40,MATCH(B964,Listas!$B$5:$B$40,0)),"?"))</f>
        <v/>
      </c>
      <c r="D964" s="4"/>
      <c r="E964" s="4"/>
      <c r="F964" s="4"/>
      <c r="G964" s="28"/>
      <c r="H964" s="29" t="str">
        <f aca="false">IF(A964="","",DATE(YEAR(A964),MONTH(A964),1))</f>
        <v/>
      </c>
    </row>
    <row r="965" customFormat="false" ht="15" hidden="false" customHeight="false" outlineLevel="0" collapsed="false">
      <c r="A965" s="26"/>
      <c r="B965" s="4"/>
      <c r="C965" s="27" t="str">
        <f aca="false">IF(B965="","",IFERROR(INDEX(Listas!$C$5:$C$40,MATCH(B965,Listas!$B$5:$B$40,0)),"?"))</f>
        <v/>
      </c>
      <c r="D965" s="4"/>
      <c r="E965" s="4"/>
      <c r="F965" s="4"/>
      <c r="G965" s="28"/>
      <c r="H965" s="29" t="str">
        <f aca="false">IF(A965="","",DATE(YEAR(A965),MONTH(A965),1))</f>
        <v/>
      </c>
    </row>
    <row r="966" customFormat="false" ht="15" hidden="false" customHeight="false" outlineLevel="0" collapsed="false">
      <c r="A966" s="26"/>
      <c r="B966" s="4"/>
      <c r="C966" s="27" t="str">
        <f aca="false">IF(B966="","",IFERROR(INDEX(Listas!$C$5:$C$40,MATCH(B966,Listas!$B$5:$B$40,0)),"?"))</f>
        <v/>
      </c>
      <c r="D966" s="4"/>
      <c r="E966" s="4"/>
      <c r="F966" s="4"/>
      <c r="G966" s="28"/>
      <c r="H966" s="29" t="str">
        <f aca="false">IF(A966="","",DATE(YEAR(A966),MONTH(A966),1))</f>
        <v/>
      </c>
    </row>
    <row r="967" customFormat="false" ht="15" hidden="false" customHeight="false" outlineLevel="0" collapsed="false">
      <c r="A967" s="26"/>
      <c r="B967" s="4"/>
      <c r="C967" s="27" t="str">
        <f aca="false">IF(B967="","",IFERROR(INDEX(Listas!$C$5:$C$40,MATCH(B967,Listas!$B$5:$B$40,0)),"?"))</f>
        <v/>
      </c>
      <c r="D967" s="4"/>
      <c r="E967" s="4"/>
      <c r="F967" s="4"/>
      <c r="G967" s="28"/>
      <c r="H967" s="29" t="str">
        <f aca="false">IF(A967="","",DATE(YEAR(A967),MONTH(A967),1))</f>
        <v/>
      </c>
    </row>
    <row r="968" customFormat="false" ht="15" hidden="false" customHeight="false" outlineLevel="0" collapsed="false">
      <c r="A968" s="26"/>
      <c r="B968" s="4"/>
      <c r="C968" s="27" t="str">
        <f aca="false">IF(B968="","",IFERROR(INDEX(Listas!$C$5:$C$40,MATCH(B968,Listas!$B$5:$B$40,0)),"?"))</f>
        <v/>
      </c>
      <c r="D968" s="4"/>
      <c r="E968" s="4"/>
      <c r="F968" s="4"/>
      <c r="G968" s="28"/>
      <c r="H968" s="29" t="str">
        <f aca="false">IF(A968="","",DATE(YEAR(A968),MONTH(A968),1))</f>
        <v/>
      </c>
    </row>
    <row r="969" customFormat="false" ht="15" hidden="false" customHeight="false" outlineLevel="0" collapsed="false">
      <c r="A969" s="26"/>
      <c r="B969" s="4"/>
      <c r="C969" s="27" t="str">
        <f aca="false">IF(B969="","",IFERROR(INDEX(Listas!$C$5:$C$40,MATCH(B969,Listas!$B$5:$B$40,0)),"?"))</f>
        <v/>
      </c>
      <c r="D969" s="4"/>
      <c r="E969" s="4"/>
      <c r="F969" s="4"/>
      <c r="G969" s="28"/>
      <c r="H969" s="29" t="str">
        <f aca="false">IF(A969="","",DATE(YEAR(A969),MONTH(A969),1))</f>
        <v/>
      </c>
    </row>
    <row r="970" customFormat="false" ht="15" hidden="false" customHeight="false" outlineLevel="0" collapsed="false">
      <c r="A970" s="26"/>
      <c r="B970" s="4"/>
      <c r="C970" s="27" t="str">
        <f aca="false">IF(B970="","",IFERROR(INDEX(Listas!$C$5:$C$40,MATCH(B970,Listas!$B$5:$B$40,0)),"?"))</f>
        <v/>
      </c>
      <c r="D970" s="4"/>
      <c r="E970" s="4"/>
      <c r="F970" s="4"/>
      <c r="G970" s="28"/>
      <c r="H970" s="29" t="str">
        <f aca="false">IF(A970="","",DATE(YEAR(A970),MONTH(A970),1))</f>
        <v/>
      </c>
    </row>
    <row r="971" customFormat="false" ht="15" hidden="false" customHeight="false" outlineLevel="0" collapsed="false">
      <c r="A971" s="26"/>
      <c r="B971" s="4"/>
      <c r="C971" s="27" t="str">
        <f aca="false">IF(B971="","",IFERROR(INDEX(Listas!$C$5:$C$40,MATCH(B971,Listas!$B$5:$B$40,0)),"?"))</f>
        <v/>
      </c>
      <c r="D971" s="4"/>
      <c r="E971" s="4"/>
      <c r="F971" s="4"/>
      <c r="G971" s="28"/>
      <c r="H971" s="29" t="str">
        <f aca="false">IF(A971="","",DATE(YEAR(A971),MONTH(A971),1))</f>
        <v/>
      </c>
    </row>
    <row r="972" customFormat="false" ht="15" hidden="false" customHeight="false" outlineLevel="0" collapsed="false">
      <c r="A972" s="26"/>
      <c r="B972" s="4"/>
      <c r="C972" s="27" t="str">
        <f aca="false">IF(B972="","",IFERROR(INDEX(Listas!$C$5:$C$40,MATCH(B972,Listas!$B$5:$B$40,0)),"?"))</f>
        <v/>
      </c>
      <c r="D972" s="4"/>
      <c r="E972" s="4"/>
      <c r="F972" s="4"/>
      <c r="G972" s="28"/>
      <c r="H972" s="29" t="str">
        <f aca="false">IF(A972="","",DATE(YEAR(A972),MONTH(A972),1))</f>
        <v/>
      </c>
    </row>
    <row r="973" customFormat="false" ht="15" hidden="false" customHeight="false" outlineLevel="0" collapsed="false">
      <c r="A973" s="26"/>
      <c r="B973" s="4"/>
      <c r="C973" s="27" t="str">
        <f aca="false">IF(B973="","",IFERROR(INDEX(Listas!$C$5:$C$40,MATCH(B973,Listas!$B$5:$B$40,0)),"?"))</f>
        <v/>
      </c>
      <c r="D973" s="4"/>
      <c r="E973" s="4"/>
      <c r="F973" s="4"/>
      <c r="G973" s="28"/>
      <c r="H973" s="29" t="str">
        <f aca="false">IF(A973="","",DATE(YEAR(A973),MONTH(A973),1))</f>
        <v/>
      </c>
    </row>
    <row r="974" customFormat="false" ht="15" hidden="false" customHeight="false" outlineLevel="0" collapsed="false">
      <c r="A974" s="26"/>
      <c r="B974" s="4"/>
      <c r="C974" s="27" t="str">
        <f aca="false">IF(B974="","",IFERROR(INDEX(Listas!$C$5:$C$40,MATCH(B974,Listas!$B$5:$B$40,0)),"?"))</f>
        <v/>
      </c>
      <c r="D974" s="4"/>
      <c r="E974" s="4"/>
      <c r="F974" s="4"/>
      <c r="G974" s="28"/>
      <c r="H974" s="29" t="str">
        <f aca="false">IF(A974="","",DATE(YEAR(A974),MONTH(A974),1))</f>
        <v/>
      </c>
    </row>
    <row r="975" customFormat="false" ht="15" hidden="false" customHeight="false" outlineLevel="0" collapsed="false">
      <c r="A975" s="26"/>
      <c r="B975" s="4"/>
      <c r="C975" s="27" t="str">
        <f aca="false">IF(B975="","",IFERROR(INDEX(Listas!$C$5:$C$40,MATCH(B975,Listas!$B$5:$B$40,0)),"?"))</f>
        <v/>
      </c>
      <c r="D975" s="4"/>
      <c r="E975" s="4"/>
      <c r="F975" s="4"/>
      <c r="G975" s="28"/>
      <c r="H975" s="29" t="str">
        <f aca="false">IF(A975="","",DATE(YEAR(A975),MONTH(A975),1))</f>
        <v/>
      </c>
    </row>
    <row r="976" customFormat="false" ht="15" hidden="false" customHeight="false" outlineLevel="0" collapsed="false">
      <c r="A976" s="26"/>
      <c r="B976" s="4"/>
      <c r="C976" s="27" t="str">
        <f aca="false">IF(B976="","",IFERROR(INDEX(Listas!$C$5:$C$40,MATCH(B976,Listas!$B$5:$B$40,0)),"?"))</f>
        <v/>
      </c>
      <c r="D976" s="4"/>
      <c r="E976" s="4"/>
      <c r="F976" s="4"/>
      <c r="G976" s="28"/>
      <c r="H976" s="29" t="str">
        <f aca="false">IF(A976="","",DATE(YEAR(A976),MONTH(A976),1))</f>
        <v/>
      </c>
    </row>
    <row r="977" customFormat="false" ht="15" hidden="false" customHeight="false" outlineLevel="0" collapsed="false">
      <c r="A977" s="26"/>
      <c r="B977" s="4"/>
      <c r="C977" s="27" t="str">
        <f aca="false">IF(B977="","",IFERROR(INDEX(Listas!$C$5:$C$40,MATCH(B977,Listas!$B$5:$B$40,0)),"?"))</f>
        <v/>
      </c>
      <c r="D977" s="4"/>
      <c r="E977" s="4"/>
      <c r="F977" s="4"/>
      <c r="G977" s="28"/>
      <c r="H977" s="29" t="str">
        <f aca="false">IF(A977="","",DATE(YEAR(A977),MONTH(A977),1))</f>
        <v/>
      </c>
    </row>
    <row r="978" customFormat="false" ht="15" hidden="false" customHeight="false" outlineLevel="0" collapsed="false">
      <c r="A978" s="26"/>
      <c r="B978" s="4"/>
      <c r="C978" s="27" t="str">
        <f aca="false">IF(B978="","",IFERROR(INDEX(Listas!$C$5:$C$40,MATCH(B978,Listas!$B$5:$B$40,0)),"?"))</f>
        <v/>
      </c>
      <c r="D978" s="4"/>
      <c r="E978" s="4"/>
      <c r="F978" s="4"/>
      <c r="G978" s="28"/>
      <c r="H978" s="29" t="str">
        <f aca="false">IF(A978="","",DATE(YEAR(A978),MONTH(A978),1))</f>
        <v/>
      </c>
    </row>
    <row r="979" customFormat="false" ht="15" hidden="false" customHeight="false" outlineLevel="0" collapsed="false">
      <c r="A979" s="26"/>
      <c r="B979" s="4"/>
      <c r="C979" s="27" t="str">
        <f aca="false">IF(B979="","",IFERROR(INDEX(Listas!$C$5:$C$40,MATCH(B979,Listas!$B$5:$B$40,0)),"?"))</f>
        <v/>
      </c>
      <c r="D979" s="4"/>
      <c r="E979" s="4"/>
      <c r="F979" s="4"/>
      <c r="G979" s="28"/>
      <c r="H979" s="29" t="str">
        <f aca="false">IF(A979="","",DATE(YEAR(A979),MONTH(A979),1))</f>
        <v/>
      </c>
    </row>
    <row r="980" customFormat="false" ht="15" hidden="false" customHeight="false" outlineLevel="0" collapsed="false">
      <c r="A980" s="26"/>
      <c r="B980" s="4"/>
      <c r="C980" s="27" t="str">
        <f aca="false">IF(B980="","",IFERROR(INDEX(Listas!$C$5:$C$40,MATCH(B980,Listas!$B$5:$B$40,0)),"?"))</f>
        <v/>
      </c>
      <c r="D980" s="4"/>
      <c r="E980" s="4"/>
      <c r="F980" s="4"/>
      <c r="G980" s="28"/>
      <c r="H980" s="29" t="str">
        <f aca="false">IF(A980="","",DATE(YEAR(A980),MONTH(A980),1))</f>
        <v/>
      </c>
    </row>
    <row r="981" customFormat="false" ht="15" hidden="false" customHeight="false" outlineLevel="0" collapsed="false">
      <c r="A981" s="26"/>
      <c r="B981" s="4"/>
      <c r="C981" s="27" t="str">
        <f aca="false">IF(B981="","",IFERROR(INDEX(Listas!$C$5:$C$40,MATCH(B981,Listas!$B$5:$B$40,0)),"?"))</f>
        <v/>
      </c>
      <c r="D981" s="4"/>
      <c r="E981" s="4"/>
      <c r="F981" s="4"/>
      <c r="G981" s="28"/>
      <c r="H981" s="29" t="str">
        <f aca="false">IF(A981="","",DATE(YEAR(A981),MONTH(A981),1))</f>
        <v/>
      </c>
    </row>
    <row r="982" customFormat="false" ht="15" hidden="false" customHeight="false" outlineLevel="0" collapsed="false">
      <c r="A982" s="26"/>
      <c r="B982" s="4"/>
      <c r="C982" s="27" t="str">
        <f aca="false">IF(B982="","",IFERROR(INDEX(Listas!$C$5:$C$40,MATCH(B982,Listas!$B$5:$B$40,0)),"?"))</f>
        <v/>
      </c>
      <c r="D982" s="4"/>
      <c r="E982" s="4"/>
      <c r="F982" s="4"/>
      <c r="G982" s="28"/>
      <c r="H982" s="29" t="str">
        <f aca="false">IF(A982="","",DATE(YEAR(A982),MONTH(A982),1))</f>
        <v/>
      </c>
    </row>
    <row r="983" customFormat="false" ht="15" hidden="false" customHeight="false" outlineLevel="0" collapsed="false">
      <c r="A983" s="26"/>
      <c r="B983" s="4"/>
      <c r="C983" s="27" t="str">
        <f aca="false">IF(B983="","",IFERROR(INDEX(Listas!$C$5:$C$40,MATCH(B983,Listas!$B$5:$B$40,0)),"?"))</f>
        <v/>
      </c>
      <c r="D983" s="4"/>
      <c r="E983" s="4"/>
      <c r="F983" s="4"/>
      <c r="G983" s="28"/>
      <c r="H983" s="29" t="str">
        <f aca="false">IF(A983="","",DATE(YEAR(A983),MONTH(A983),1))</f>
        <v/>
      </c>
    </row>
    <row r="984" customFormat="false" ht="15" hidden="false" customHeight="false" outlineLevel="0" collapsed="false">
      <c r="A984" s="26"/>
      <c r="B984" s="4"/>
      <c r="C984" s="27" t="str">
        <f aca="false">IF(B984="","",IFERROR(INDEX(Listas!$C$5:$C$40,MATCH(B984,Listas!$B$5:$B$40,0)),"?"))</f>
        <v/>
      </c>
      <c r="D984" s="4"/>
      <c r="E984" s="4"/>
      <c r="F984" s="4"/>
      <c r="G984" s="28"/>
      <c r="H984" s="29" t="str">
        <f aca="false">IF(A984="","",DATE(YEAR(A984),MONTH(A984),1))</f>
        <v/>
      </c>
    </row>
    <row r="985" customFormat="false" ht="15" hidden="false" customHeight="false" outlineLevel="0" collapsed="false">
      <c r="A985" s="26"/>
      <c r="B985" s="4"/>
      <c r="C985" s="27" t="str">
        <f aca="false">IF(B985="","",IFERROR(INDEX(Listas!$C$5:$C$40,MATCH(B985,Listas!$B$5:$B$40,0)),"?"))</f>
        <v/>
      </c>
      <c r="D985" s="4"/>
      <c r="E985" s="4"/>
      <c r="F985" s="4"/>
      <c r="G985" s="28"/>
      <c r="H985" s="29" t="str">
        <f aca="false">IF(A985="","",DATE(YEAR(A985),MONTH(A985),1))</f>
        <v/>
      </c>
    </row>
    <row r="986" customFormat="false" ht="15" hidden="false" customHeight="false" outlineLevel="0" collapsed="false">
      <c r="A986" s="26"/>
      <c r="B986" s="4"/>
      <c r="C986" s="27" t="str">
        <f aca="false">IF(B986="","",IFERROR(INDEX(Listas!$C$5:$C$40,MATCH(B986,Listas!$B$5:$B$40,0)),"?"))</f>
        <v/>
      </c>
      <c r="D986" s="4"/>
      <c r="E986" s="4"/>
      <c r="F986" s="4"/>
      <c r="G986" s="28"/>
      <c r="H986" s="29" t="str">
        <f aca="false">IF(A986="","",DATE(YEAR(A986),MONTH(A986),1))</f>
        <v/>
      </c>
    </row>
    <row r="987" customFormat="false" ht="15" hidden="false" customHeight="false" outlineLevel="0" collapsed="false">
      <c r="A987" s="26"/>
      <c r="B987" s="4"/>
      <c r="C987" s="27" t="str">
        <f aca="false">IF(B987="","",IFERROR(INDEX(Listas!$C$5:$C$40,MATCH(B987,Listas!$B$5:$B$40,0)),"?"))</f>
        <v/>
      </c>
      <c r="D987" s="4"/>
      <c r="E987" s="4"/>
      <c r="F987" s="4"/>
      <c r="G987" s="28"/>
      <c r="H987" s="29" t="str">
        <f aca="false">IF(A987="","",DATE(YEAR(A987),MONTH(A987),1))</f>
        <v/>
      </c>
    </row>
    <row r="988" customFormat="false" ht="15" hidden="false" customHeight="false" outlineLevel="0" collapsed="false">
      <c r="A988" s="26"/>
      <c r="B988" s="4"/>
      <c r="C988" s="27" t="str">
        <f aca="false">IF(B988="","",IFERROR(INDEX(Listas!$C$5:$C$40,MATCH(B988,Listas!$B$5:$B$40,0)),"?"))</f>
        <v/>
      </c>
      <c r="D988" s="4"/>
      <c r="E988" s="4"/>
      <c r="F988" s="4"/>
      <c r="G988" s="28"/>
      <c r="H988" s="29" t="str">
        <f aca="false">IF(A988="","",DATE(YEAR(A988),MONTH(A988),1))</f>
        <v/>
      </c>
    </row>
    <row r="989" customFormat="false" ht="15" hidden="false" customHeight="false" outlineLevel="0" collapsed="false">
      <c r="A989" s="26"/>
      <c r="B989" s="4"/>
      <c r="C989" s="27" t="str">
        <f aca="false">IF(B989="","",IFERROR(INDEX(Listas!$C$5:$C$40,MATCH(B989,Listas!$B$5:$B$40,0)),"?"))</f>
        <v/>
      </c>
      <c r="D989" s="4"/>
      <c r="E989" s="4"/>
      <c r="F989" s="4"/>
      <c r="G989" s="28"/>
      <c r="H989" s="29" t="str">
        <f aca="false">IF(A989="","",DATE(YEAR(A989),MONTH(A989),1))</f>
        <v/>
      </c>
    </row>
    <row r="990" customFormat="false" ht="15" hidden="false" customHeight="false" outlineLevel="0" collapsed="false">
      <c r="A990" s="26"/>
      <c r="B990" s="4"/>
      <c r="C990" s="27" t="str">
        <f aca="false">IF(B990="","",IFERROR(INDEX(Listas!$C$5:$C$40,MATCH(B990,Listas!$B$5:$B$40,0)),"?"))</f>
        <v/>
      </c>
      <c r="D990" s="4"/>
      <c r="E990" s="4"/>
      <c r="F990" s="4"/>
      <c r="G990" s="28"/>
      <c r="H990" s="29" t="str">
        <f aca="false">IF(A990="","",DATE(YEAR(A990),MONTH(A990),1))</f>
        <v/>
      </c>
    </row>
    <row r="991" customFormat="false" ht="15" hidden="false" customHeight="false" outlineLevel="0" collapsed="false">
      <c r="A991" s="26"/>
      <c r="B991" s="4"/>
      <c r="C991" s="27" t="str">
        <f aca="false">IF(B991="","",IFERROR(INDEX(Listas!$C$5:$C$40,MATCH(B991,Listas!$B$5:$B$40,0)),"?"))</f>
        <v/>
      </c>
      <c r="D991" s="4"/>
      <c r="E991" s="4"/>
      <c r="F991" s="4"/>
      <c r="G991" s="28"/>
      <c r="H991" s="29" t="str">
        <f aca="false">IF(A991="","",DATE(YEAR(A991),MONTH(A991),1))</f>
        <v/>
      </c>
    </row>
    <row r="992" customFormat="false" ht="15" hidden="false" customHeight="false" outlineLevel="0" collapsed="false">
      <c r="A992" s="26"/>
      <c r="B992" s="4"/>
      <c r="C992" s="27" t="str">
        <f aca="false">IF(B992="","",IFERROR(INDEX(Listas!$C$5:$C$40,MATCH(B992,Listas!$B$5:$B$40,0)),"?"))</f>
        <v/>
      </c>
      <c r="D992" s="4"/>
      <c r="E992" s="4"/>
      <c r="F992" s="4"/>
      <c r="G992" s="28"/>
      <c r="H992" s="29" t="str">
        <f aca="false">IF(A992="","",DATE(YEAR(A992),MONTH(A992),1))</f>
        <v/>
      </c>
    </row>
    <row r="993" customFormat="false" ht="15" hidden="false" customHeight="false" outlineLevel="0" collapsed="false">
      <c r="A993" s="26"/>
      <c r="B993" s="4"/>
      <c r="C993" s="27" t="str">
        <f aca="false">IF(B993="","",IFERROR(INDEX(Listas!$C$5:$C$40,MATCH(B993,Listas!$B$5:$B$40,0)),"?"))</f>
        <v/>
      </c>
      <c r="D993" s="4"/>
      <c r="E993" s="4"/>
      <c r="F993" s="4"/>
      <c r="G993" s="28"/>
      <c r="H993" s="29" t="str">
        <f aca="false">IF(A993="","",DATE(YEAR(A993),MONTH(A993),1))</f>
        <v/>
      </c>
    </row>
    <row r="994" customFormat="false" ht="15" hidden="false" customHeight="false" outlineLevel="0" collapsed="false">
      <c r="A994" s="26"/>
      <c r="B994" s="4"/>
      <c r="C994" s="27" t="str">
        <f aca="false">IF(B994="","",IFERROR(INDEX(Listas!$C$5:$C$40,MATCH(B994,Listas!$B$5:$B$40,0)),"?"))</f>
        <v/>
      </c>
      <c r="D994" s="4"/>
      <c r="E994" s="4"/>
      <c r="F994" s="4"/>
      <c r="G994" s="28"/>
      <c r="H994" s="29" t="str">
        <f aca="false">IF(A994="","",DATE(YEAR(A994),MONTH(A994),1))</f>
        <v/>
      </c>
    </row>
    <row r="995" customFormat="false" ht="15" hidden="false" customHeight="false" outlineLevel="0" collapsed="false">
      <c r="A995" s="26"/>
      <c r="B995" s="4"/>
      <c r="C995" s="27" t="str">
        <f aca="false">IF(B995="","",IFERROR(INDEX(Listas!$C$5:$C$40,MATCH(B995,Listas!$B$5:$B$40,0)),"?"))</f>
        <v/>
      </c>
      <c r="D995" s="4"/>
      <c r="E995" s="4"/>
      <c r="F995" s="4"/>
      <c r="G995" s="28"/>
      <c r="H995" s="29" t="str">
        <f aca="false">IF(A995="","",DATE(YEAR(A995),MONTH(A995),1))</f>
        <v/>
      </c>
    </row>
    <row r="996" customFormat="false" ht="15" hidden="false" customHeight="false" outlineLevel="0" collapsed="false">
      <c r="A996" s="26"/>
      <c r="B996" s="4"/>
      <c r="C996" s="27" t="str">
        <f aca="false">IF(B996="","",IFERROR(INDEX(Listas!$C$5:$C$40,MATCH(B996,Listas!$B$5:$B$40,0)),"?"))</f>
        <v/>
      </c>
      <c r="D996" s="4"/>
      <c r="E996" s="4"/>
      <c r="F996" s="4"/>
      <c r="G996" s="28"/>
      <c r="H996" s="29" t="str">
        <f aca="false">IF(A996="","",DATE(YEAR(A996),MONTH(A996),1))</f>
        <v/>
      </c>
    </row>
    <row r="997" customFormat="false" ht="15" hidden="false" customHeight="false" outlineLevel="0" collapsed="false">
      <c r="A997" s="26"/>
      <c r="B997" s="4"/>
      <c r="C997" s="27" t="str">
        <f aca="false">IF(B997="","",IFERROR(INDEX(Listas!$C$5:$C$40,MATCH(B997,Listas!$B$5:$B$40,0)),"?"))</f>
        <v/>
      </c>
      <c r="D997" s="4"/>
      <c r="E997" s="4"/>
      <c r="F997" s="4"/>
      <c r="G997" s="28"/>
      <c r="H997" s="29" t="str">
        <f aca="false">IF(A997="","",DATE(YEAR(A997),MONTH(A997),1))</f>
        <v/>
      </c>
    </row>
    <row r="998" customFormat="false" ht="15" hidden="false" customHeight="false" outlineLevel="0" collapsed="false">
      <c r="A998" s="26"/>
      <c r="B998" s="4"/>
      <c r="C998" s="27" t="str">
        <f aca="false">IF(B998="","",IFERROR(INDEX(Listas!$C$5:$C$40,MATCH(B998,Listas!$B$5:$B$40,0)),"?"))</f>
        <v/>
      </c>
      <c r="D998" s="4"/>
      <c r="E998" s="4"/>
      <c r="F998" s="4"/>
      <c r="G998" s="28"/>
      <c r="H998" s="29" t="str">
        <f aca="false">IF(A998="","",DATE(YEAR(A998),MONTH(A998),1))</f>
        <v/>
      </c>
    </row>
    <row r="999" customFormat="false" ht="15" hidden="false" customHeight="false" outlineLevel="0" collapsed="false">
      <c r="A999" s="26"/>
      <c r="B999" s="4"/>
      <c r="C999" s="27" t="str">
        <f aca="false">IF(B999="","",IFERROR(INDEX(Listas!$C$5:$C$40,MATCH(B999,Listas!$B$5:$B$40,0)),"?"))</f>
        <v/>
      </c>
      <c r="D999" s="4"/>
      <c r="E999" s="4"/>
      <c r="F999" s="4"/>
      <c r="G999" s="28"/>
      <c r="H999" s="29" t="str">
        <f aca="false">IF(A999="","",DATE(YEAR(A999),MONTH(A999),1))</f>
        <v/>
      </c>
    </row>
    <row r="1000" customFormat="false" ht="15" hidden="false" customHeight="false" outlineLevel="0" collapsed="false">
      <c r="A1000" s="26"/>
      <c r="B1000" s="4"/>
      <c r="C1000" s="27" t="str">
        <f aca="false">IF(B1000="","",IFERROR(INDEX(Listas!$C$5:$C$40,MATCH(B1000,Listas!$B$5:$B$40,0)),"?"))</f>
        <v/>
      </c>
      <c r="D1000" s="4"/>
      <c r="E1000" s="4"/>
      <c r="F1000" s="4"/>
      <c r="G1000" s="28"/>
      <c r="H1000" s="29" t="str">
        <f aca="false">IF(A1000="","",DATE(YEAR(A1000),MONTH(A1000),1))</f>
        <v/>
      </c>
    </row>
    <row r="1001" customFormat="false" ht="15" hidden="false" customHeight="false" outlineLevel="0" collapsed="false">
      <c r="A1001" s="26"/>
      <c r="B1001" s="4"/>
      <c r="C1001" s="27" t="str">
        <f aca="false">IF(B1001="","",IFERROR(INDEX(Listas!$C$5:$C$40,MATCH(B1001,Listas!$B$5:$B$40,0)),"?"))</f>
        <v/>
      </c>
      <c r="D1001" s="4"/>
      <c r="E1001" s="4"/>
      <c r="F1001" s="4"/>
      <c r="G1001" s="28"/>
      <c r="H1001" s="29" t="str">
        <f aca="false">IF(A1001="","",DATE(YEAR(A1001),MONTH(A1001),1))</f>
        <v/>
      </c>
    </row>
    <row r="1002" customFormat="false" ht="15" hidden="false" customHeight="false" outlineLevel="0" collapsed="false">
      <c r="A1002" s="26"/>
      <c r="B1002" s="4"/>
      <c r="C1002" s="27" t="str">
        <f aca="false">IF(B1002="","",IFERROR(INDEX(Listas!$C$5:$C$40,MATCH(B1002,Listas!$B$5:$B$40,0)),"?"))</f>
        <v/>
      </c>
      <c r="D1002" s="4"/>
      <c r="E1002" s="4"/>
      <c r="F1002" s="4"/>
      <c r="G1002" s="28"/>
      <c r="H1002" s="29" t="str">
        <f aca="false">IF(A1002="","",DATE(YEAR(A1002),MONTH(A1002),1))</f>
        <v/>
      </c>
    </row>
    <row r="1003" customFormat="false" ht="15" hidden="false" customHeight="false" outlineLevel="0" collapsed="false">
      <c r="A1003" s="26"/>
      <c r="B1003" s="4"/>
      <c r="C1003" s="27" t="str">
        <f aca="false">IF(B1003="","",IFERROR(INDEX(Listas!$C$5:$C$40,MATCH(B1003,Listas!$B$5:$B$40,0)),"?"))</f>
        <v/>
      </c>
      <c r="D1003" s="4"/>
      <c r="E1003" s="4"/>
      <c r="F1003" s="4"/>
      <c r="G1003" s="28"/>
      <c r="H1003" s="29" t="str">
        <f aca="false">IF(A1003="","",DATE(YEAR(A1003),MONTH(A1003),1))</f>
        <v/>
      </c>
    </row>
    <row r="1004" customFormat="false" ht="15" hidden="false" customHeight="false" outlineLevel="0" collapsed="false">
      <c r="A1004" s="26"/>
      <c r="B1004" s="4"/>
      <c r="C1004" s="27" t="str">
        <f aca="false">IF(B1004="","",IFERROR(INDEX(Listas!$C$5:$C$40,MATCH(B1004,Listas!$B$5:$B$40,0)),"?"))</f>
        <v/>
      </c>
      <c r="D1004" s="4"/>
      <c r="E1004" s="4"/>
      <c r="F1004" s="4"/>
      <c r="G1004" s="28"/>
      <c r="H1004" s="29" t="str">
        <f aca="false">IF(A1004="","",DATE(YEAR(A1004),MONTH(A1004),1))</f>
        <v/>
      </c>
    </row>
  </sheetData>
  <autoFilter ref="A4:H1004"/>
  <conditionalFormatting sqref="G5:G1004">
    <cfRule type="expression" priority="2" aboveAverage="0" equalAverage="0" bottom="0" percent="0" rank="0" text="" dxfId="10">
      <formula>$C5="Entrada"</formula>
    </cfRule>
    <cfRule type="expression" priority="3" aboveAverage="0" equalAverage="0" bottom="0" percent="0" rank="0" text="" dxfId="11">
      <formula>$C5="Saída"</formula>
    </cfRule>
  </conditionalFormatting>
  <conditionalFormatting sqref="C5:C1004">
    <cfRule type="expression" priority="4" aboveAverage="0" equalAverage="0" bottom="0" percent="0" rank="0" text="" dxfId="12">
      <formula>$C5="?"</formula>
    </cfRule>
  </conditionalFormatting>
  <dataValidations count="5">
    <dataValidation allowBlank="true" error="Escolha uma categoria da lista (aba Listas)." errorStyle="stop" errorTitle="Categoria" operator="between" showDropDown="false" showErrorMessage="true" showInputMessage="false" sqref="B5:B1004" type="list">
      <formula1>Categorias</formula1>
      <formula2>0</formula2>
    </dataValidation>
    <dataValidation allowBlank="true" errorStyle="stop" operator="between" showDropDown="false" showErrorMessage="false" showInputMessage="false" sqref="E5:E1004" type="list">
      <formula1>ListaProjetos</formula1>
      <formula2>0</formula2>
    </dataValidation>
    <dataValidation allowBlank="true" errorStyle="stop" operator="between" showDropDown="false" showErrorMessage="false" showInputMessage="false" sqref="F5:F1004" type="list">
      <formula1>Formas</formula1>
      <formula2>0</formula2>
    </dataValidation>
    <dataValidation allowBlank="true" error="Digite o valor sem sinal de menos. A categoria já diz se é entrada ou saída." errorStyle="stop" errorTitle="Valor" operator="greaterThanOrEqual" showDropDown="false" showErrorMessage="true" showInputMessage="false" sqref="G5:G1004" type="decimal">
      <formula1>0</formula1>
      <formula2>0</formula2>
    </dataValidation>
    <dataValidation allowBlank="true" error="Digite uma data, por exemplo 05/11/2026." errorStyle="stop" errorTitle="Data" operator="greaterThan" showDropDown="false" showErrorMessage="true" showInputMessage="false" sqref="A5:A10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8C"/>
    <pageSetUpPr fitToPage="true"/>
  </sheetPr>
  <dimension ref="A1: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13" min="7" style="0" width="14"/>
    <col collapsed="false" customWidth="true" hidden="false" outlineLevel="0" max="14" min="14" style="0" width="34"/>
  </cols>
  <sheetData>
    <row r="1" customFormat="false" ht="22.0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3" customFormat="false" ht="15" hidden="false" customHeight="false" outlineLevel="0" collapsed="false">
      <c r="G3" s="30" t="s">
        <v>74</v>
      </c>
      <c r="H3" s="31" t="n">
        <f aca="false">SUM(H5:H204)</f>
        <v>1200</v>
      </c>
      <c r="I3" s="31" t="n">
        <f aca="false">SUM(I5:I204)</f>
        <v>600</v>
      </c>
      <c r="J3" s="31" t="n">
        <f aca="false">SUM(J5:J204)</f>
        <v>600</v>
      </c>
      <c r="K3" s="31" t="n">
        <f aca="false">SUM(K5:K204)</f>
        <v>0</v>
      </c>
      <c r="L3" s="31" t="n">
        <f aca="false">SUM(L5:L204)</f>
        <v>600</v>
      </c>
      <c r="M3" s="31" t="n">
        <f aca="false">SUM(M5:M204)</f>
        <v>90</v>
      </c>
    </row>
    <row r="4" customFormat="false" ht="30" hidden="false" customHeight="true" outlineLevel="0" collapsed="false">
      <c r="A4" s="21" t="s">
        <v>75</v>
      </c>
      <c r="B4" s="21" t="s">
        <v>76</v>
      </c>
      <c r="C4" s="21" t="s">
        <v>59</v>
      </c>
      <c r="D4" s="21" t="s">
        <v>77</v>
      </c>
      <c r="E4" s="21" t="s">
        <v>78</v>
      </c>
      <c r="F4" s="21" t="s">
        <v>79</v>
      </c>
      <c r="G4" s="21" t="s">
        <v>80</v>
      </c>
      <c r="H4" s="21" t="s">
        <v>81</v>
      </c>
      <c r="I4" s="21" t="s">
        <v>82</v>
      </c>
      <c r="J4" s="21" t="s">
        <v>83</v>
      </c>
      <c r="K4" s="21" t="s">
        <v>84</v>
      </c>
      <c r="L4" s="21" t="s">
        <v>85</v>
      </c>
      <c r="M4" s="21" t="s">
        <v>86</v>
      </c>
      <c r="N4" s="21" t="s">
        <v>87</v>
      </c>
    </row>
    <row r="5" customFormat="false" ht="15" hidden="false" customHeight="false" outlineLevel="0" collapsed="false">
      <c r="A5" s="4" t="s">
        <v>67</v>
      </c>
      <c r="B5" s="4" t="s">
        <v>88</v>
      </c>
      <c r="C5" s="4" t="s">
        <v>65</v>
      </c>
      <c r="D5" s="4" t="s">
        <v>89</v>
      </c>
      <c r="E5" s="26" t="n">
        <v>46329</v>
      </c>
      <c r="F5" s="26" t="n">
        <v>46341</v>
      </c>
      <c r="G5" s="32" t="s">
        <v>90</v>
      </c>
      <c r="H5" s="28" t="n">
        <v>1200</v>
      </c>
      <c r="I5" s="33" t="n">
        <f aca="false">IF(A5="","",SUMIFS(Lançamentos!$G$5:$G$1004,Lançamentos!$E$5:$E$1004,A5,Lançamentos!$C$5:$C$1004,"Entrada"))</f>
        <v>600</v>
      </c>
      <c r="J5" s="33" t="n">
        <f aca="false">IF(A5="","",IF(OR(G5="Em produção",G5="Entregue"),MAX(H5-I5,0),0))</f>
        <v>600</v>
      </c>
      <c r="K5" s="33" t="n">
        <f aca="false">IF(A5="","",SUMIFS(Lançamentos!$G$5:$G$1004,Lançamentos!$E$5:$E$1004,A5,Lançamentos!$C$5:$C$1004,"Saída"))</f>
        <v>0</v>
      </c>
      <c r="L5" s="33" t="n">
        <f aca="false">IF(A5="","",I5-K5)</f>
        <v>600</v>
      </c>
      <c r="M5" s="28" t="n">
        <v>90</v>
      </c>
      <c r="N5" s="4" t="s">
        <v>91</v>
      </c>
    </row>
    <row r="6" customFormat="false" ht="15" hidden="false" customHeight="false" outlineLevel="0" collapsed="false">
      <c r="A6" s="4"/>
      <c r="B6" s="4"/>
      <c r="C6" s="4"/>
      <c r="D6" s="4"/>
      <c r="E6" s="26"/>
      <c r="F6" s="26"/>
      <c r="G6" s="32"/>
      <c r="H6" s="28"/>
      <c r="I6" s="33" t="str">
        <f aca="false">IF(A6="","",SUMIFS(Lançamentos!$G$5:$G$1004,Lançamentos!$E$5:$E$1004,A6,Lançamentos!$C$5:$C$1004,"Entrada"))</f>
        <v/>
      </c>
      <c r="J6" s="33" t="str">
        <f aca="false">IF(A6="","",IF(OR(G6="Em produção",G6="Entregue"),MAX(H6-I6,0),0))</f>
        <v/>
      </c>
      <c r="K6" s="33" t="str">
        <f aca="false">IF(A6="","",SUMIFS(Lançamentos!$G$5:$G$1004,Lançamentos!$E$5:$E$1004,A6,Lançamentos!$C$5:$C$1004,"Saída"))</f>
        <v/>
      </c>
      <c r="L6" s="33" t="str">
        <f aca="false">IF(A6="","",I6-K6)</f>
        <v/>
      </c>
      <c r="M6" s="28"/>
      <c r="N6" s="4"/>
    </row>
    <row r="7" customFormat="false" ht="15" hidden="false" customHeight="false" outlineLevel="0" collapsed="false">
      <c r="A7" s="4"/>
      <c r="B7" s="4"/>
      <c r="C7" s="4"/>
      <c r="D7" s="4"/>
      <c r="E7" s="26"/>
      <c r="F7" s="26"/>
      <c r="G7" s="32"/>
      <c r="H7" s="28"/>
      <c r="I7" s="33" t="str">
        <f aca="false">IF(A7="","",SUMIFS(Lançamentos!$G$5:$G$1004,Lançamentos!$E$5:$E$1004,A7,Lançamentos!$C$5:$C$1004,"Entrada"))</f>
        <v/>
      </c>
      <c r="J7" s="33" t="str">
        <f aca="false">IF(A7="","",IF(OR(G7="Em produção",G7="Entregue"),MAX(H7-I7,0),0))</f>
        <v/>
      </c>
      <c r="K7" s="33" t="str">
        <f aca="false">IF(A7="","",SUMIFS(Lançamentos!$G$5:$G$1004,Lançamentos!$E$5:$E$1004,A7,Lançamentos!$C$5:$C$1004,"Saída"))</f>
        <v/>
      </c>
      <c r="L7" s="33" t="str">
        <f aca="false">IF(A7="","",I7-K7)</f>
        <v/>
      </c>
      <c r="M7" s="28"/>
      <c r="N7" s="4"/>
    </row>
    <row r="8" customFormat="false" ht="15" hidden="false" customHeight="false" outlineLevel="0" collapsed="false">
      <c r="A8" s="4"/>
      <c r="B8" s="4"/>
      <c r="C8" s="4"/>
      <c r="D8" s="4"/>
      <c r="E8" s="26"/>
      <c r="F8" s="26"/>
      <c r="G8" s="32"/>
      <c r="H8" s="28"/>
      <c r="I8" s="33" t="str">
        <f aca="false">IF(A8="","",SUMIFS(Lançamentos!$G$5:$G$1004,Lançamentos!$E$5:$E$1004,A8,Lançamentos!$C$5:$C$1004,"Entrada"))</f>
        <v/>
      </c>
      <c r="J8" s="33" t="str">
        <f aca="false">IF(A8="","",IF(OR(G8="Em produção",G8="Entregue"),MAX(H8-I8,0),0))</f>
        <v/>
      </c>
      <c r="K8" s="33" t="str">
        <f aca="false">IF(A8="","",SUMIFS(Lançamentos!$G$5:$G$1004,Lançamentos!$E$5:$E$1004,A8,Lançamentos!$C$5:$C$1004,"Saída"))</f>
        <v/>
      </c>
      <c r="L8" s="33" t="str">
        <f aca="false">IF(A8="","",I8-K8)</f>
        <v/>
      </c>
      <c r="M8" s="28"/>
      <c r="N8" s="4"/>
    </row>
    <row r="9" customFormat="false" ht="15" hidden="false" customHeight="false" outlineLevel="0" collapsed="false">
      <c r="A9" s="4"/>
      <c r="B9" s="4"/>
      <c r="C9" s="4"/>
      <c r="D9" s="4"/>
      <c r="E9" s="26"/>
      <c r="F9" s="26"/>
      <c r="G9" s="32"/>
      <c r="H9" s="28"/>
      <c r="I9" s="33" t="str">
        <f aca="false">IF(A9="","",SUMIFS(Lançamentos!$G$5:$G$1004,Lançamentos!$E$5:$E$1004,A9,Lançamentos!$C$5:$C$1004,"Entrada"))</f>
        <v/>
      </c>
      <c r="J9" s="33" t="str">
        <f aca="false">IF(A9="","",IF(OR(G9="Em produção",G9="Entregue"),MAX(H9-I9,0),0))</f>
        <v/>
      </c>
      <c r="K9" s="33" t="str">
        <f aca="false">IF(A9="","",SUMIFS(Lançamentos!$G$5:$G$1004,Lançamentos!$E$5:$E$1004,A9,Lançamentos!$C$5:$C$1004,"Saída"))</f>
        <v/>
      </c>
      <c r="L9" s="33" t="str">
        <f aca="false">IF(A9="","",I9-K9)</f>
        <v/>
      </c>
      <c r="M9" s="28"/>
      <c r="N9" s="4"/>
    </row>
    <row r="10" customFormat="false" ht="15" hidden="false" customHeight="false" outlineLevel="0" collapsed="false">
      <c r="A10" s="4"/>
      <c r="B10" s="4"/>
      <c r="C10" s="4"/>
      <c r="D10" s="4"/>
      <c r="E10" s="26"/>
      <c r="F10" s="26"/>
      <c r="G10" s="32"/>
      <c r="H10" s="28"/>
      <c r="I10" s="33" t="str">
        <f aca="false">IF(A10="","",SUMIFS(Lançamentos!$G$5:$G$1004,Lançamentos!$E$5:$E$1004,A10,Lançamentos!$C$5:$C$1004,"Entrada"))</f>
        <v/>
      </c>
      <c r="J10" s="33" t="str">
        <f aca="false">IF(A10="","",IF(OR(G10="Em produção",G10="Entregue"),MAX(H10-I10,0),0))</f>
        <v/>
      </c>
      <c r="K10" s="33" t="str">
        <f aca="false">IF(A10="","",SUMIFS(Lançamentos!$G$5:$G$1004,Lançamentos!$E$5:$E$1004,A10,Lançamentos!$C$5:$C$1004,"Saída"))</f>
        <v/>
      </c>
      <c r="L10" s="33" t="str">
        <f aca="false">IF(A10="","",I10-K10)</f>
        <v/>
      </c>
      <c r="M10" s="28"/>
      <c r="N10" s="4"/>
    </row>
    <row r="11" customFormat="false" ht="15" hidden="false" customHeight="false" outlineLevel="0" collapsed="false">
      <c r="A11" s="4"/>
      <c r="B11" s="4"/>
      <c r="C11" s="4"/>
      <c r="D11" s="4"/>
      <c r="E11" s="26"/>
      <c r="F11" s="26"/>
      <c r="G11" s="32"/>
      <c r="H11" s="28"/>
      <c r="I11" s="33" t="str">
        <f aca="false">IF(A11="","",SUMIFS(Lançamentos!$G$5:$G$1004,Lançamentos!$E$5:$E$1004,A11,Lançamentos!$C$5:$C$1004,"Entrada"))</f>
        <v/>
      </c>
      <c r="J11" s="33" t="str">
        <f aca="false">IF(A11="","",IF(OR(G11="Em produção",G11="Entregue"),MAX(H11-I11,0),0))</f>
        <v/>
      </c>
      <c r="K11" s="33" t="str">
        <f aca="false">IF(A11="","",SUMIFS(Lançamentos!$G$5:$G$1004,Lançamentos!$E$5:$E$1004,A11,Lançamentos!$C$5:$C$1004,"Saída"))</f>
        <v/>
      </c>
      <c r="L11" s="33" t="str">
        <f aca="false">IF(A11="","",I11-K11)</f>
        <v/>
      </c>
      <c r="M11" s="28"/>
      <c r="N11" s="4"/>
    </row>
    <row r="12" customFormat="false" ht="15" hidden="false" customHeight="false" outlineLevel="0" collapsed="false">
      <c r="A12" s="4"/>
      <c r="B12" s="4"/>
      <c r="C12" s="4"/>
      <c r="D12" s="4"/>
      <c r="E12" s="26"/>
      <c r="F12" s="26"/>
      <c r="G12" s="32"/>
      <c r="H12" s="28"/>
      <c r="I12" s="33" t="str">
        <f aca="false">IF(A12="","",SUMIFS(Lançamentos!$G$5:$G$1004,Lançamentos!$E$5:$E$1004,A12,Lançamentos!$C$5:$C$1004,"Entrada"))</f>
        <v/>
      </c>
      <c r="J12" s="33" t="str">
        <f aca="false">IF(A12="","",IF(OR(G12="Em produção",G12="Entregue"),MAX(H12-I12,0),0))</f>
        <v/>
      </c>
      <c r="K12" s="33" t="str">
        <f aca="false">IF(A12="","",SUMIFS(Lançamentos!$G$5:$G$1004,Lançamentos!$E$5:$E$1004,A12,Lançamentos!$C$5:$C$1004,"Saída"))</f>
        <v/>
      </c>
      <c r="L12" s="33" t="str">
        <f aca="false">IF(A12="","",I12-K12)</f>
        <v/>
      </c>
      <c r="M12" s="28"/>
      <c r="N12" s="4"/>
    </row>
    <row r="13" customFormat="false" ht="15" hidden="false" customHeight="false" outlineLevel="0" collapsed="false">
      <c r="A13" s="4"/>
      <c r="B13" s="4"/>
      <c r="C13" s="4"/>
      <c r="D13" s="4"/>
      <c r="E13" s="26"/>
      <c r="F13" s="26"/>
      <c r="G13" s="32"/>
      <c r="H13" s="28"/>
      <c r="I13" s="33" t="str">
        <f aca="false">IF(A13="","",SUMIFS(Lançamentos!$G$5:$G$1004,Lançamentos!$E$5:$E$1004,A13,Lançamentos!$C$5:$C$1004,"Entrada"))</f>
        <v/>
      </c>
      <c r="J13" s="33" t="str">
        <f aca="false">IF(A13="","",IF(OR(G13="Em produção",G13="Entregue"),MAX(H13-I13,0),0))</f>
        <v/>
      </c>
      <c r="K13" s="33" t="str">
        <f aca="false">IF(A13="","",SUMIFS(Lançamentos!$G$5:$G$1004,Lançamentos!$E$5:$E$1004,A13,Lançamentos!$C$5:$C$1004,"Saída"))</f>
        <v/>
      </c>
      <c r="L13" s="33" t="str">
        <f aca="false">IF(A13="","",I13-K13)</f>
        <v/>
      </c>
      <c r="M13" s="28"/>
      <c r="N13" s="4"/>
    </row>
    <row r="14" customFormat="false" ht="15" hidden="false" customHeight="false" outlineLevel="0" collapsed="false">
      <c r="A14" s="4"/>
      <c r="B14" s="4"/>
      <c r="C14" s="4"/>
      <c r="D14" s="4"/>
      <c r="E14" s="26"/>
      <c r="F14" s="26"/>
      <c r="G14" s="32"/>
      <c r="H14" s="28"/>
      <c r="I14" s="33" t="str">
        <f aca="false">IF(A14="","",SUMIFS(Lançamentos!$G$5:$G$1004,Lançamentos!$E$5:$E$1004,A14,Lançamentos!$C$5:$C$1004,"Entrada"))</f>
        <v/>
      </c>
      <c r="J14" s="33" t="str">
        <f aca="false">IF(A14="","",IF(OR(G14="Em produção",G14="Entregue"),MAX(H14-I14,0),0))</f>
        <v/>
      </c>
      <c r="K14" s="33" t="str">
        <f aca="false">IF(A14="","",SUMIFS(Lançamentos!$G$5:$G$1004,Lançamentos!$E$5:$E$1004,A14,Lançamentos!$C$5:$C$1004,"Saída"))</f>
        <v/>
      </c>
      <c r="L14" s="33" t="str">
        <f aca="false">IF(A14="","",I14-K14)</f>
        <v/>
      </c>
      <c r="M14" s="28"/>
      <c r="N14" s="4"/>
    </row>
    <row r="15" customFormat="false" ht="15" hidden="false" customHeight="false" outlineLevel="0" collapsed="false">
      <c r="A15" s="4"/>
      <c r="B15" s="4"/>
      <c r="C15" s="4"/>
      <c r="D15" s="4"/>
      <c r="E15" s="26"/>
      <c r="F15" s="26"/>
      <c r="G15" s="32"/>
      <c r="H15" s="28"/>
      <c r="I15" s="33" t="str">
        <f aca="false">IF(A15="","",SUMIFS(Lançamentos!$G$5:$G$1004,Lançamentos!$E$5:$E$1004,A15,Lançamentos!$C$5:$C$1004,"Entrada"))</f>
        <v/>
      </c>
      <c r="J15" s="33" t="str">
        <f aca="false">IF(A15="","",IF(OR(G15="Em produção",G15="Entregue"),MAX(H15-I15,0),0))</f>
        <v/>
      </c>
      <c r="K15" s="33" t="str">
        <f aca="false">IF(A15="","",SUMIFS(Lançamentos!$G$5:$G$1004,Lançamentos!$E$5:$E$1004,A15,Lançamentos!$C$5:$C$1004,"Saída"))</f>
        <v/>
      </c>
      <c r="L15" s="33" t="str">
        <f aca="false">IF(A15="","",I15-K15)</f>
        <v/>
      </c>
      <c r="M15" s="28"/>
      <c r="N15" s="4"/>
    </row>
    <row r="16" customFormat="false" ht="15" hidden="false" customHeight="false" outlineLevel="0" collapsed="false">
      <c r="A16" s="4"/>
      <c r="B16" s="4"/>
      <c r="C16" s="4"/>
      <c r="D16" s="4"/>
      <c r="E16" s="26"/>
      <c r="F16" s="26"/>
      <c r="G16" s="32"/>
      <c r="H16" s="28"/>
      <c r="I16" s="33" t="str">
        <f aca="false">IF(A16="","",SUMIFS(Lançamentos!$G$5:$G$1004,Lançamentos!$E$5:$E$1004,A16,Lançamentos!$C$5:$C$1004,"Entrada"))</f>
        <v/>
      </c>
      <c r="J16" s="33" t="str">
        <f aca="false">IF(A16="","",IF(OR(G16="Em produção",G16="Entregue"),MAX(H16-I16,0),0))</f>
        <v/>
      </c>
      <c r="K16" s="33" t="str">
        <f aca="false">IF(A16="","",SUMIFS(Lançamentos!$G$5:$G$1004,Lançamentos!$E$5:$E$1004,A16,Lançamentos!$C$5:$C$1004,"Saída"))</f>
        <v/>
      </c>
      <c r="L16" s="33" t="str">
        <f aca="false">IF(A16="","",I16-K16)</f>
        <v/>
      </c>
      <c r="M16" s="28"/>
      <c r="N16" s="4"/>
    </row>
    <row r="17" customFormat="false" ht="15" hidden="false" customHeight="false" outlineLevel="0" collapsed="false">
      <c r="A17" s="4"/>
      <c r="B17" s="4"/>
      <c r="C17" s="4"/>
      <c r="D17" s="4"/>
      <c r="E17" s="26"/>
      <c r="F17" s="26"/>
      <c r="G17" s="32"/>
      <c r="H17" s="28"/>
      <c r="I17" s="33" t="str">
        <f aca="false">IF(A17="","",SUMIFS(Lançamentos!$G$5:$G$1004,Lançamentos!$E$5:$E$1004,A17,Lançamentos!$C$5:$C$1004,"Entrada"))</f>
        <v/>
      </c>
      <c r="J17" s="33" t="str">
        <f aca="false">IF(A17="","",IF(OR(G17="Em produção",G17="Entregue"),MAX(H17-I17,0),0))</f>
        <v/>
      </c>
      <c r="K17" s="33" t="str">
        <f aca="false">IF(A17="","",SUMIFS(Lançamentos!$G$5:$G$1004,Lançamentos!$E$5:$E$1004,A17,Lançamentos!$C$5:$C$1004,"Saída"))</f>
        <v/>
      </c>
      <c r="L17" s="33" t="str">
        <f aca="false">IF(A17="","",I17-K17)</f>
        <v/>
      </c>
      <c r="M17" s="28"/>
      <c r="N17" s="4"/>
    </row>
    <row r="18" customFormat="false" ht="15" hidden="false" customHeight="false" outlineLevel="0" collapsed="false">
      <c r="A18" s="4"/>
      <c r="B18" s="4"/>
      <c r="C18" s="4"/>
      <c r="D18" s="4"/>
      <c r="E18" s="26"/>
      <c r="F18" s="26"/>
      <c r="G18" s="32"/>
      <c r="H18" s="28"/>
      <c r="I18" s="33" t="str">
        <f aca="false">IF(A18="","",SUMIFS(Lançamentos!$G$5:$G$1004,Lançamentos!$E$5:$E$1004,A18,Lançamentos!$C$5:$C$1004,"Entrada"))</f>
        <v/>
      </c>
      <c r="J18" s="33" t="str">
        <f aca="false">IF(A18="","",IF(OR(G18="Em produção",G18="Entregue"),MAX(H18-I18,0),0))</f>
        <v/>
      </c>
      <c r="K18" s="33" t="str">
        <f aca="false">IF(A18="","",SUMIFS(Lançamentos!$G$5:$G$1004,Lançamentos!$E$5:$E$1004,A18,Lançamentos!$C$5:$C$1004,"Saída"))</f>
        <v/>
      </c>
      <c r="L18" s="33" t="str">
        <f aca="false">IF(A18="","",I18-K18)</f>
        <v/>
      </c>
      <c r="M18" s="28"/>
      <c r="N18" s="4"/>
    </row>
    <row r="19" customFormat="false" ht="15" hidden="false" customHeight="false" outlineLevel="0" collapsed="false">
      <c r="A19" s="4"/>
      <c r="B19" s="4"/>
      <c r="C19" s="4"/>
      <c r="D19" s="4"/>
      <c r="E19" s="26"/>
      <c r="F19" s="26"/>
      <c r="G19" s="32"/>
      <c r="H19" s="28"/>
      <c r="I19" s="33" t="str">
        <f aca="false">IF(A19="","",SUMIFS(Lançamentos!$G$5:$G$1004,Lançamentos!$E$5:$E$1004,A19,Lançamentos!$C$5:$C$1004,"Entrada"))</f>
        <v/>
      </c>
      <c r="J19" s="33" t="str">
        <f aca="false">IF(A19="","",IF(OR(G19="Em produção",G19="Entregue"),MAX(H19-I19,0),0))</f>
        <v/>
      </c>
      <c r="K19" s="33" t="str">
        <f aca="false">IF(A19="","",SUMIFS(Lançamentos!$G$5:$G$1004,Lançamentos!$E$5:$E$1004,A19,Lançamentos!$C$5:$C$1004,"Saída"))</f>
        <v/>
      </c>
      <c r="L19" s="33" t="str">
        <f aca="false">IF(A19="","",I19-K19)</f>
        <v/>
      </c>
      <c r="M19" s="28"/>
      <c r="N19" s="4"/>
    </row>
    <row r="20" customFormat="false" ht="15" hidden="false" customHeight="false" outlineLevel="0" collapsed="false">
      <c r="A20" s="4"/>
      <c r="B20" s="4"/>
      <c r="C20" s="4"/>
      <c r="D20" s="4"/>
      <c r="E20" s="26"/>
      <c r="F20" s="26"/>
      <c r="G20" s="32"/>
      <c r="H20" s="28"/>
      <c r="I20" s="33" t="str">
        <f aca="false">IF(A20="","",SUMIFS(Lançamentos!$G$5:$G$1004,Lançamentos!$E$5:$E$1004,A20,Lançamentos!$C$5:$C$1004,"Entrada"))</f>
        <v/>
      </c>
      <c r="J20" s="33" t="str">
        <f aca="false">IF(A20="","",IF(OR(G20="Em produção",G20="Entregue"),MAX(H20-I20,0),0))</f>
        <v/>
      </c>
      <c r="K20" s="33" t="str">
        <f aca="false">IF(A20="","",SUMIFS(Lançamentos!$G$5:$G$1004,Lançamentos!$E$5:$E$1004,A20,Lançamentos!$C$5:$C$1004,"Saída"))</f>
        <v/>
      </c>
      <c r="L20" s="33" t="str">
        <f aca="false">IF(A20="","",I20-K20)</f>
        <v/>
      </c>
      <c r="M20" s="28"/>
      <c r="N20" s="4"/>
    </row>
    <row r="21" customFormat="false" ht="15" hidden="false" customHeight="false" outlineLevel="0" collapsed="false">
      <c r="A21" s="4"/>
      <c r="B21" s="4"/>
      <c r="C21" s="4"/>
      <c r="D21" s="4"/>
      <c r="E21" s="26"/>
      <c r="F21" s="26"/>
      <c r="G21" s="32"/>
      <c r="H21" s="28"/>
      <c r="I21" s="33" t="str">
        <f aca="false">IF(A21="","",SUMIFS(Lançamentos!$G$5:$G$1004,Lançamentos!$E$5:$E$1004,A21,Lançamentos!$C$5:$C$1004,"Entrada"))</f>
        <v/>
      </c>
      <c r="J21" s="33" t="str">
        <f aca="false">IF(A21="","",IF(OR(G21="Em produção",G21="Entregue"),MAX(H21-I21,0),0))</f>
        <v/>
      </c>
      <c r="K21" s="33" t="str">
        <f aca="false">IF(A21="","",SUMIFS(Lançamentos!$G$5:$G$1004,Lançamentos!$E$5:$E$1004,A21,Lançamentos!$C$5:$C$1004,"Saída"))</f>
        <v/>
      </c>
      <c r="L21" s="33" t="str">
        <f aca="false">IF(A21="","",I21-K21)</f>
        <v/>
      </c>
      <c r="M21" s="28"/>
      <c r="N21" s="4"/>
    </row>
    <row r="22" customFormat="false" ht="15" hidden="false" customHeight="false" outlineLevel="0" collapsed="false">
      <c r="A22" s="4"/>
      <c r="B22" s="4"/>
      <c r="C22" s="4"/>
      <c r="D22" s="4"/>
      <c r="E22" s="26"/>
      <c r="F22" s="26"/>
      <c r="G22" s="32"/>
      <c r="H22" s="28"/>
      <c r="I22" s="33" t="str">
        <f aca="false">IF(A22="","",SUMIFS(Lançamentos!$G$5:$G$1004,Lançamentos!$E$5:$E$1004,A22,Lançamentos!$C$5:$C$1004,"Entrada"))</f>
        <v/>
      </c>
      <c r="J22" s="33" t="str">
        <f aca="false">IF(A22="","",IF(OR(G22="Em produção",G22="Entregue"),MAX(H22-I22,0),0))</f>
        <v/>
      </c>
      <c r="K22" s="33" t="str">
        <f aca="false">IF(A22="","",SUMIFS(Lançamentos!$G$5:$G$1004,Lançamentos!$E$5:$E$1004,A22,Lançamentos!$C$5:$C$1004,"Saída"))</f>
        <v/>
      </c>
      <c r="L22" s="33" t="str">
        <f aca="false">IF(A22="","",I22-K22)</f>
        <v/>
      </c>
      <c r="M22" s="28"/>
      <c r="N22" s="4"/>
    </row>
    <row r="23" customFormat="false" ht="15" hidden="false" customHeight="false" outlineLevel="0" collapsed="false">
      <c r="A23" s="4"/>
      <c r="B23" s="4"/>
      <c r="C23" s="4"/>
      <c r="D23" s="4"/>
      <c r="E23" s="26"/>
      <c r="F23" s="26"/>
      <c r="G23" s="32"/>
      <c r="H23" s="28"/>
      <c r="I23" s="33" t="str">
        <f aca="false">IF(A23="","",SUMIFS(Lançamentos!$G$5:$G$1004,Lançamentos!$E$5:$E$1004,A23,Lançamentos!$C$5:$C$1004,"Entrada"))</f>
        <v/>
      </c>
      <c r="J23" s="33" t="str">
        <f aca="false">IF(A23="","",IF(OR(G23="Em produção",G23="Entregue"),MAX(H23-I23,0),0))</f>
        <v/>
      </c>
      <c r="K23" s="33" t="str">
        <f aca="false">IF(A23="","",SUMIFS(Lançamentos!$G$5:$G$1004,Lançamentos!$E$5:$E$1004,A23,Lançamentos!$C$5:$C$1004,"Saída"))</f>
        <v/>
      </c>
      <c r="L23" s="33" t="str">
        <f aca="false">IF(A23="","",I23-K23)</f>
        <v/>
      </c>
      <c r="M23" s="28"/>
      <c r="N23" s="4"/>
    </row>
    <row r="24" customFormat="false" ht="15" hidden="false" customHeight="false" outlineLevel="0" collapsed="false">
      <c r="A24" s="4"/>
      <c r="B24" s="4"/>
      <c r="C24" s="4"/>
      <c r="D24" s="4"/>
      <c r="E24" s="26"/>
      <c r="F24" s="26"/>
      <c r="G24" s="32"/>
      <c r="H24" s="28"/>
      <c r="I24" s="33" t="str">
        <f aca="false">IF(A24="","",SUMIFS(Lançamentos!$G$5:$G$1004,Lançamentos!$E$5:$E$1004,A24,Lançamentos!$C$5:$C$1004,"Entrada"))</f>
        <v/>
      </c>
      <c r="J24" s="33" t="str">
        <f aca="false">IF(A24="","",IF(OR(G24="Em produção",G24="Entregue"),MAX(H24-I24,0),0))</f>
        <v/>
      </c>
      <c r="K24" s="33" t="str">
        <f aca="false">IF(A24="","",SUMIFS(Lançamentos!$G$5:$G$1004,Lançamentos!$E$5:$E$1004,A24,Lançamentos!$C$5:$C$1004,"Saída"))</f>
        <v/>
      </c>
      <c r="L24" s="33" t="str">
        <f aca="false">IF(A24="","",I24-K24)</f>
        <v/>
      </c>
      <c r="M24" s="28"/>
      <c r="N24" s="4"/>
    </row>
    <row r="25" customFormat="false" ht="15" hidden="false" customHeight="false" outlineLevel="0" collapsed="false">
      <c r="A25" s="4"/>
      <c r="B25" s="4"/>
      <c r="C25" s="4"/>
      <c r="D25" s="4"/>
      <c r="E25" s="26"/>
      <c r="F25" s="26"/>
      <c r="G25" s="32"/>
      <c r="H25" s="28"/>
      <c r="I25" s="33" t="str">
        <f aca="false">IF(A25="","",SUMIFS(Lançamentos!$G$5:$G$1004,Lançamentos!$E$5:$E$1004,A25,Lançamentos!$C$5:$C$1004,"Entrada"))</f>
        <v/>
      </c>
      <c r="J25" s="33" t="str">
        <f aca="false">IF(A25="","",IF(OR(G25="Em produção",G25="Entregue"),MAX(H25-I25,0),0))</f>
        <v/>
      </c>
      <c r="K25" s="33" t="str">
        <f aca="false">IF(A25="","",SUMIFS(Lançamentos!$G$5:$G$1004,Lançamentos!$E$5:$E$1004,A25,Lançamentos!$C$5:$C$1004,"Saída"))</f>
        <v/>
      </c>
      <c r="L25" s="33" t="str">
        <f aca="false">IF(A25="","",I25-K25)</f>
        <v/>
      </c>
      <c r="M25" s="28"/>
      <c r="N25" s="4"/>
    </row>
    <row r="26" customFormat="false" ht="15" hidden="false" customHeight="false" outlineLevel="0" collapsed="false">
      <c r="A26" s="4"/>
      <c r="B26" s="4"/>
      <c r="C26" s="4"/>
      <c r="D26" s="4"/>
      <c r="E26" s="26"/>
      <c r="F26" s="26"/>
      <c r="G26" s="32"/>
      <c r="H26" s="28"/>
      <c r="I26" s="33" t="str">
        <f aca="false">IF(A26="","",SUMIFS(Lançamentos!$G$5:$G$1004,Lançamentos!$E$5:$E$1004,A26,Lançamentos!$C$5:$C$1004,"Entrada"))</f>
        <v/>
      </c>
      <c r="J26" s="33" t="str">
        <f aca="false">IF(A26="","",IF(OR(G26="Em produção",G26="Entregue"),MAX(H26-I26,0),0))</f>
        <v/>
      </c>
      <c r="K26" s="33" t="str">
        <f aca="false">IF(A26="","",SUMIFS(Lançamentos!$G$5:$G$1004,Lançamentos!$E$5:$E$1004,A26,Lançamentos!$C$5:$C$1004,"Saída"))</f>
        <v/>
      </c>
      <c r="L26" s="33" t="str">
        <f aca="false">IF(A26="","",I26-K26)</f>
        <v/>
      </c>
      <c r="M26" s="28"/>
      <c r="N26" s="4"/>
    </row>
    <row r="27" customFormat="false" ht="15" hidden="false" customHeight="false" outlineLevel="0" collapsed="false">
      <c r="A27" s="4"/>
      <c r="B27" s="4"/>
      <c r="C27" s="4"/>
      <c r="D27" s="4"/>
      <c r="E27" s="26"/>
      <c r="F27" s="26"/>
      <c r="G27" s="32"/>
      <c r="H27" s="28"/>
      <c r="I27" s="33" t="str">
        <f aca="false">IF(A27="","",SUMIFS(Lançamentos!$G$5:$G$1004,Lançamentos!$E$5:$E$1004,A27,Lançamentos!$C$5:$C$1004,"Entrada"))</f>
        <v/>
      </c>
      <c r="J27" s="33" t="str">
        <f aca="false">IF(A27="","",IF(OR(G27="Em produção",G27="Entregue"),MAX(H27-I27,0),0))</f>
        <v/>
      </c>
      <c r="K27" s="33" t="str">
        <f aca="false">IF(A27="","",SUMIFS(Lançamentos!$G$5:$G$1004,Lançamentos!$E$5:$E$1004,A27,Lançamentos!$C$5:$C$1004,"Saída"))</f>
        <v/>
      </c>
      <c r="L27" s="33" t="str">
        <f aca="false">IF(A27="","",I27-K27)</f>
        <v/>
      </c>
      <c r="M27" s="28"/>
      <c r="N27" s="4"/>
    </row>
    <row r="28" customFormat="false" ht="15" hidden="false" customHeight="false" outlineLevel="0" collapsed="false">
      <c r="A28" s="4"/>
      <c r="B28" s="4"/>
      <c r="C28" s="4"/>
      <c r="D28" s="4"/>
      <c r="E28" s="26"/>
      <c r="F28" s="26"/>
      <c r="G28" s="32"/>
      <c r="H28" s="28"/>
      <c r="I28" s="33" t="str">
        <f aca="false">IF(A28="","",SUMIFS(Lançamentos!$G$5:$G$1004,Lançamentos!$E$5:$E$1004,A28,Lançamentos!$C$5:$C$1004,"Entrada"))</f>
        <v/>
      </c>
      <c r="J28" s="33" t="str">
        <f aca="false">IF(A28="","",IF(OR(G28="Em produção",G28="Entregue"),MAX(H28-I28,0),0))</f>
        <v/>
      </c>
      <c r="K28" s="33" t="str">
        <f aca="false">IF(A28="","",SUMIFS(Lançamentos!$G$5:$G$1004,Lançamentos!$E$5:$E$1004,A28,Lançamentos!$C$5:$C$1004,"Saída"))</f>
        <v/>
      </c>
      <c r="L28" s="33" t="str">
        <f aca="false">IF(A28="","",I28-K28)</f>
        <v/>
      </c>
      <c r="M28" s="28"/>
      <c r="N28" s="4"/>
    </row>
    <row r="29" customFormat="false" ht="15" hidden="false" customHeight="false" outlineLevel="0" collapsed="false">
      <c r="A29" s="4"/>
      <c r="B29" s="4"/>
      <c r="C29" s="4"/>
      <c r="D29" s="4"/>
      <c r="E29" s="26"/>
      <c r="F29" s="26"/>
      <c r="G29" s="32"/>
      <c r="H29" s="28"/>
      <c r="I29" s="33" t="str">
        <f aca="false">IF(A29="","",SUMIFS(Lançamentos!$G$5:$G$1004,Lançamentos!$E$5:$E$1004,A29,Lançamentos!$C$5:$C$1004,"Entrada"))</f>
        <v/>
      </c>
      <c r="J29" s="33" t="str">
        <f aca="false">IF(A29="","",IF(OR(G29="Em produção",G29="Entregue"),MAX(H29-I29,0),0))</f>
        <v/>
      </c>
      <c r="K29" s="33" t="str">
        <f aca="false">IF(A29="","",SUMIFS(Lançamentos!$G$5:$G$1004,Lançamentos!$E$5:$E$1004,A29,Lançamentos!$C$5:$C$1004,"Saída"))</f>
        <v/>
      </c>
      <c r="L29" s="33" t="str">
        <f aca="false">IF(A29="","",I29-K29)</f>
        <v/>
      </c>
      <c r="M29" s="28"/>
      <c r="N29" s="4"/>
    </row>
    <row r="30" customFormat="false" ht="15" hidden="false" customHeight="false" outlineLevel="0" collapsed="false">
      <c r="A30" s="4"/>
      <c r="B30" s="4"/>
      <c r="C30" s="4"/>
      <c r="D30" s="4"/>
      <c r="E30" s="26"/>
      <c r="F30" s="26"/>
      <c r="G30" s="32"/>
      <c r="H30" s="28"/>
      <c r="I30" s="33" t="str">
        <f aca="false">IF(A30="","",SUMIFS(Lançamentos!$G$5:$G$1004,Lançamentos!$E$5:$E$1004,A30,Lançamentos!$C$5:$C$1004,"Entrada"))</f>
        <v/>
      </c>
      <c r="J30" s="33" t="str">
        <f aca="false">IF(A30="","",IF(OR(G30="Em produção",G30="Entregue"),MAX(H30-I30,0),0))</f>
        <v/>
      </c>
      <c r="K30" s="33" t="str">
        <f aca="false">IF(A30="","",SUMIFS(Lançamentos!$G$5:$G$1004,Lançamentos!$E$5:$E$1004,A30,Lançamentos!$C$5:$C$1004,"Saída"))</f>
        <v/>
      </c>
      <c r="L30" s="33" t="str">
        <f aca="false">IF(A30="","",I30-K30)</f>
        <v/>
      </c>
      <c r="M30" s="28"/>
      <c r="N30" s="4"/>
    </row>
    <row r="31" customFormat="false" ht="15" hidden="false" customHeight="false" outlineLevel="0" collapsed="false">
      <c r="A31" s="4"/>
      <c r="B31" s="4"/>
      <c r="C31" s="4"/>
      <c r="D31" s="4"/>
      <c r="E31" s="26"/>
      <c r="F31" s="26"/>
      <c r="G31" s="32"/>
      <c r="H31" s="28"/>
      <c r="I31" s="33" t="str">
        <f aca="false">IF(A31="","",SUMIFS(Lançamentos!$G$5:$G$1004,Lançamentos!$E$5:$E$1004,A31,Lançamentos!$C$5:$C$1004,"Entrada"))</f>
        <v/>
      </c>
      <c r="J31" s="33" t="str">
        <f aca="false">IF(A31="","",IF(OR(G31="Em produção",G31="Entregue"),MAX(H31-I31,0),0))</f>
        <v/>
      </c>
      <c r="K31" s="33" t="str">
        <f aca="false">IF(A31="","",SUMIFS(Lançamentos!$G$5:$G$1004,Lançamentos!$E$5:$E$1004,A31,Lançamentos!$C$5:$C$1004,"Saída"))</f>
        <v/>
      </c>
      <c r="L31" s="33" t="str">
        <f aca="false">IF(A31="","",I31-K31)</f>
        <v/>
      </c>
      <c r="M31" s="28"/>
      <c r="N31" s="4"/>
    </row>
    <row r="32" customFormat="false" ht="15" hidden="false" customHeight="false" outlineLevel="0" collapsed="false">
      <c r="A32" s="4"/>
      <c r="B32" s="4"/>
      <c r="C32" s="4"/>
      <c r="D32" s="4"/>
      <c r="E32" s="26"/>
      <c r="F32" s="26"/>
      <c r="G32" s="32"/>
      <c r="H32" s="28"/>
      <c r="I32" s="33" t="str">
        <f aca="false">IF(A32="","",SUMIFS(Lançamentos!$G$5:$G$1004,Lançamentos!$E$5:$E$1004,A32,Lançamentos!$C$5:$C$1004,"Entrada"))</f>
        <v/>
      </c>
      <c r="J32" s="33" t="str">
        <f aca="false">IF(A32="","",IF(OR(G32="Em produção",G32="Entregue"),MAX(H32-I32,0),0))</f>
        <v/>
      </c>
      <c r="K32" s="33" t="str">
        <f aca="false">IF(A32="","",SUMIFS(Lançamentos!$G$5:$G$1004,Lançamentos!$E$5:$E$1004,A32,Lançamentos!$C$5:$C$1004,"Saída"))</f>
        <v/>
      </c>
      <c r="L32" s="33" t="str">
        <f aca="false">IF(A32="","",I32-K32)</f>
        <v/>
      </c>
      <c r="M32" s="28"/>
      <c r="N32" s="4"/>
    </row>
    <row r="33" customFormat="false" ht="15" hidden="false" customHeight="false" outlineLevel="0" collapsed="false">
      <c r="A33" s="4"/>
      <c r="B33" s="4"/>
      <c r="C33" s="4"/>
      <c r="D33" s="4"/>
      <c r="E33" s="26"/>
      <c r="F33" s="26"/>
      <c r="G33" s="32"/>
      <c r="H33" s="28"/>
      <c r="I33" s="33" t="str">
        <f aca="false">IF(A33="","",SUMIFS(Lançamentos!$G$5:$G$1004,Lançamentos!$E$5:$E$1004,A33,Lançamentos!$C$5:$C$1004,"Entrada"))</f>
        <v/>
      </c>
      <c r="J33" s="33" t="str">
        <f aca="false">IF(A33="","",IF(OR(G33="Em produção",G33="Entregue"),MAX(H33-I33,0),0))</f>
        <v/>
      </c>
      <c r="K33" s="33" t="str">
        <f aca="false">IF(A33="","",SUMIFS(Lançamentos!$G$5:$G$1004,Lançamentos!$E$5:$E$1004,A33,Lançamentos!$C$5:$C$1004,"Saída"))</f>
        <v/>
      </c>
      <c r="L33" s="33" t="str">
        <f aca="false">IF(A33="","",I33-K33)</f>
        <v/>
      </c>
      <c r="M33" s="28"/>
      <c r="N33" s="4"/>
    </row>
    <row r="34" customFormat="false" ht="15" hidden="false" customHeight="false" outlineLevel="0" collapsed="false">
      <c r="A34" s="4"/>
      <c r="B34" s="4"/>
      <c r="C34" s="4"/>
      <c r="D34" s="4"/>
      <c r="E34" s="26"/>
      <c r="F34" s="26"/>
      <c r="G34" s="32"/>
      <c r="H34" s="28"/>
      <c r="I34" s="33" t="str">
        <f aca="false">IF(A34="","",SUMIFS(Lançamentos!$G$5:$G$1004,Lançamentos!$E$5:$E$1004,A34,Lançamentos!$C$5:$C$1004,"Entrada"))</f>
        <v/>
      </c>
      <c r="J34" s="33" t="str">
        <f aca="false">IF(A34="","",IF(OR(G34="Em produção",G34="Entregue"),MAX(H34-I34,0),0))</f>
        <v/>
      </c>
      <c r="K34" s="33" t="str">
        <f aca="false">IF(A34="","",SUMIFS(Lançamentos!$G$5:$G$1004,Lançamentos!$E$5:$E$1004,A34,Lançamentos!$C$5:$C$1004,"Saída"))</f>
        <v/>
      </c>
      <c r="L34" s="33" t="str">
        <f aca="false">IF(A34="","",I34-K34)</f>
        <v/>
      </c>
      <c r="M34" s="28"/>
      <c r="N34" s="4"/>
    </row>
    <row r="35" customFormat="false" ht="15" hidden="false" customHeight="false" outlineLevel="0" collapsed="false">
      <c r="A35" s="4"/>
      <c r="B35" s="4"/>
      <c r="C35" s="4"/>
      <c r="D35" s="4"/>
      <c r="E35" s="26"/>
      <c r="F35" s="26"/>
      <c r="G35" s="32"/>
      <c r="H35" s="28"/>
      <c r="I35" s="33" t="str">
        <f aca="false">IF(A35="","",SUMIFS(Lançamentos!$G$5:$G$1004,Lançamentos!$E$5:$E$1004,A35,Lançamentos!$C$5:$C$1004,"Entrada"))</f>
        <v/>
      </c>
      <c r="J35" s="33" t="str">
        <f aca="false">IF(A35="","",IF(OR(G35="Em produção",G35="Entregue"),MAX(H35-I35,0),0))</f>
        <v/>
      </c>
      <c r="K35" s="33" t="str">
        <f aca="false">IF(A35="","",SUMIFS(Lançamentos!$G$5:$G$1004,Lançamentos!$E$5:$E$1004,A35,Lançamentos!$C$5:$C$1004,"Saída"))</f>
        <v/>
      </c>
      <c r="L35" s="33" t="str">
        <f aca="false">IF(A35="","",I35-K35)</f>
        <v/>
      </c>
      <c r="M35" s="28"/>
      <c r="N35" s="4"/>
    </row>
    <row r="36" customFormat="false" ht="15" hidden="false" customHeight="false" outlineLevel="0" collapsed="false">
      <c r="A36" s="4"/>
      <c r="B36" s="4"/>
      <c r="C36" s="4"/>
      <c r="D36" s="4"/>
      <c r="E36" s="26"/>
      <c r="F36" s="26"/>
      <c r="G36" s="32"/>
      <c r="H36" s="28"/>
      <c r="I36" s="33" t="str">
        <f aca="false">IF(A36="","",SUMIFS(Lançamentos!$G$5:$G$1004,Lançamentos!$E$5:$E$1004,A36,Lançamentos!$C$5:$C$1004,"Entrada"))</f>
        <v/>
      </c>
      <c r="J36" s="33" t="str">
        <f aca="false">IF(A36="","",IF(OR(G36="Em produção",G36="Entregue"),MAX(H36-I36,0),0))</f>
        <v/>
      </c>
      <c r="K36" s="33" t="str">
        <f aca="false">IF(A36="","",SUMIFS(Lançamentos!$G$5:$G$1004,Lançamentos!$E$5:$E$1004,A36,Lançamentos!$C$5:$C$1004,"Saída"))</f>
        <v/>
      </c>
      <c r="L36" s="33" t="str">
        <f aca="false">IF(A36="","",I36-K36)</f>
        <v/>
      </c>
      <c r="M36" s="28"/>
      <c r="N36" s="4"/>
    </row>
    <row r="37" customFormat="false" ht="15" hidden="false" customHeight="false" outlineLevel="0" collapsed="false">
      <c r="A37" s="4"/>
      <c r="B37" s="4"/>
      <c r="C37" s="4"/>
      <c r="D37" s="4"/>
      <c r="E37" s="26"/>
      <c r="F37" s="26"/>
      <c r="G37" s="32"/>
      <c r="H37" s="28"/>
      <c r="I37" s="33" t="str">
        <f aca="false">IF(A37="","",SUMIFS(Lançamentos!$G$5:$G$1004,Lançamentos!$E$5:$E$1004,A37,Lançamentos!$C$5:$C$1004,"Entrada"))</f>
        <v/>
      </c>
      <c r="J37" s="33" t="str">
        <f aca="false">IF(A37="","",IF(OR(G37="Em produção",G37="Entregue"),MAX(H37-I37,0),0))</f>
        <v/>
      </c>
      <c r="K37" s="33" t="str">
        <f aca="false">IF(A37="","",SUMIFS(Lançamentos!$G$5:$G$1004,Lançamentos!$E$5:$E$1004,A37,Lançamentos!$C$5:$C$1004,"Saída"))</f>
        <v/>
      </c>
      <c r="L37" s="33" t="str">
        <f aca="false">IF(A37="","",I37-K37)</f>
        <v/>
      </c>
      <c r="M37" s="28"/>
      <c r="N37" s="4"/>
    </row>
    <row r="38" customFormat="false" ht="15" hidden="false" customHeight="false" outlineLevel="0" collapsed="false">
      <c r="A38" s="4"/>
      <c r="B38" s="4"/>
      <c r="C38" s="4"/>
      <c r="D38" s="4"/>
      <c r="E38" s="26"/>
      <c r="F38" s="26"/>
      <c r="G38" s="32"/>
      <c r="H38" s="28"/>
      <c r="I38" s="33" t="str">
        <f aca="false">IF(A38="","",SUMIFS(Lançamentos!$G$5:$G$1004,Lançamentos!$E$5:$E$1004,A38,Lançamentos!$C$5:$C$1004,"Entrada"))</f>
        <v/>
      </c>
      <c r="J38" s="33" t="str">
        <f aca="false">IF(A38="","",IF(OR(G38="Em produção",G38="Entregue"),MAX(H38-I38,0),0))</f>
        <v/>
      </c>
      <c r="K38" s="33" t="str">
        <f aca="false">IF(A38="","",SUMIFS(Lançamentos!$G$5:$G$1004,Lançamentos!$E$5:$E$1004,A38,Lançamentos!$C$5:$C$1004,"Saída"))</f>
        <v/>
      </c>
      <c r="L38" s="33" t="str">
        <f aca="false">IF(A38="","",I38-K38)</f>
        <v/>
      </c>
      <c r="M38" s="28"/>
      <c r="N38" s="4"/>
    </row>
    <row r="39" customFormat="false" ht="15" hidden="false" customHeight="false" outlineLevel="0" collapsed="false">
      <c r="A39" s="4"/>
      <c r="B39" s="4"/>
      <c r="C39" s="4"/>
      <c r="D39" s="4"/>
      <c r="E39" s="26"/>
      <c r="F39" s="26"/>
      <c r="G39" s="32"/>
      <c r="H39" s="28"/>
      <c r="I39" s="33" t="str">
        <f aca="false">IF(A39="","",SUMIFS(Lançamentos!$G$5:$G$1004,Lançamentos!$E$5:$E$1004,A39,Lançamentos!$C$5:$C$1004,"Entrada"))</f>
        <v/>
      </c>
      <c r="J39" s="33" t="str">
        <f aca="false">IF(A39="","",IF(OR(G39="Em produção",G39="Entregue"),MAX(H39-I39,0),0))</f>
        <v/>
      </c>
      <c r="K39" s="33" t="str">
        <f aca="false">IF(A39="","",SUMIFS(Lançamentos!$G$5:$G$1004,Lançamentos!$E$5:$E$1004,A39,Lançamentos!$C$5:$C$1004,"Saída"))</f>
        <v/>
      </c>
      <c r="L39" s="33" t="str">
        <f aca="false">IF(A39="","",I39-K39)</f>
        <v/>
      </c>
      <c r="M39" s="28"/>
      <c r="N39" s="4"/>
    </row>
    <row r="40" customFormat="false" ht="15" hidden="false" customHeight="false" outlineLevel="0" collapsed="false">
      <c r="A40" s="4"/>
      <c r="B40" s="4"/>
      <c r="C40" s="4"/>
      <c r="D40" s="4"/>
      <c r="E40" s="26"/>
      <c r="F40" s="26"/>
      <c r="G40" s="32"/>
      <c r="H40" s="28"/>
      <c r="I40" s="33" t="str">
        <f aca="false">IF(A40="","",SUMIFS(Lançamentos!$G$5:$G$1004,Lançamentos!$E$5:$E$1004,A40,Lançamentos!$C$5:$C$1004,"Entrada"))</f>
        <v/>
      </c>
      <c r="J40" s="33" t="str">
        <f aca="false">IF(A40="","",IF(OR(G40="Em produção",G40="Entregue"),MAX(H40-I40,0),0))</f>
        <v/>
      </c>
      <c r="K40" s="33" t="str">
        <f aca="false">IF(A40="","",SUMIFS(Lançamentos!$G$5:$G$1004,Lançamentos!$E$5:$E$1004,A40,Lançamentos!$C$5:$C$1004,"Saída"))</f>
        <v/>
      </c>
      <c r="L40" s="33" t="str">
        <f aca="false">IF(A40="","",I40-K40)</f>
        <v/>
      </c>
      <c r="M40" s="28"/>
      <c r="N40" s="4"/>
    </row>
    <row r="41" customFormat="false" ht="15" hidden="false" customHeight="false" outlineLevel="0" collapsed="false">
      <c r="A41" s="4"/>
      <c r="B41" s="4"/>
      <c r="C41" s="4"/>
      <c r="D41" s="4"/>
      <c r="E41" s="26"/>
      <c r="F41" s="26"/>
      <c r="G41" s="32"/>
      <c r="H41" s="28"/>
      <c r="I41" s="33" t="str">
        <f aca="false">IF(A41="","",SUMIFS(Lançamentos!$G$5:$G$1004,Lançamentos!$E$5:$E$1004,A41,Lançamentos!$C$5:$C$1004,"Entrada"))</f>
        <v/>
      </c>
      <c r="J41" s="33" t="str">
        <f aca="false">IF(A41="","",IF(OR(G41="Em produção",G41="Entregue"),MAX(H41-I41,0),0))</f>
        <v/>
      </c>
      <c r="K41" s="33" t="str">
        <f aca="false">IF(A41="","",SUMIFS(Lançamentos!$G$5:$G$1004,Lançamentos!$E$5:$E$1004,A41,Lançamentos!$C$5:$C$1004,"Saída"))</f>
        <v/>
      </c>
      <c r="L41" s="33" t="str">
        <f aca="false">IF(A41="","",I41-K41)</f>
        <v/>
      </c>
      <c r="M41" s="28"/>
      <c r="N41" s="4"/>
    </row>
    <row r="42" customFormat="false" ht="15" hidden="false" customHeight="false" outlineLevel="0" collapsed="false">
      <c r="A42" s="4"/>
      <c r="B42" s="4"/>
      <c r="C42" s="4"/>
      <c r="D42" s="4"/>
      <c r="E42" s="26"/>
      <c r="F42" s="26"/>
      <c r="G42" s="32"/>
      <c r="H42" s="28"/>
      <c r="I42" s="33" t="str">
        <f aca="false">IF(A42="","",SUMIFS(Lançamentos!$G$5:$G$1004,Lançamentos!$E$5:$E$1004,A42,Lançamentos!$C$5:$C$1004,"Entrada"))</f>
        <v/>
      </c>
      <c r="J42" s="33" t="str">
        <f aca="false">IF(A42="","",IF(OR(G42="Em produção",G42="Entregue"),MAX(H42-I42,0),0))</f>
        <v/>
      </c>
      <c r="K42" s="33" t="str">
        <f aca="false">IF(A42="","",SUMIFS(Lançamentos!$G$5:$G$1004,Lançamentos!$E$5:$E$1004,A42,Lançamentos!$C$5:$C$1004,"Saída"))</f>
        <v/>
      </c>
      <c r="L42" s="33" t="str">
        <f aca="false">IF(A42="","",I42-K42)</f>
        <v/>
      </c>
      <c r="M42" s="28"/>
      <c r="N42" s="4"/>
    </row>
    <row r="43" customFormat="false" ht="15" hidden="false" customHeight="false" outlineLevel="0" collapsed="false">
      <c r="A43" s="4"/>
      <c r="B43" s="4"/>
      <c r="C43" s="4"/>
      <c r="D43" s="4"/>
      <c r="E43" s="26"/>
      <c r="F43" s="26"/>
      <c r="G43" s="32"/>
      <c r="H43" s="28"/>
      <c r="I43" s="33" t="str">
        <f aca="false">IF(A43="","",SUMIFS(Lançamentos!$G$5:$G$1004,Lançamentos!$E$5:$E$1004,A43,Lançamentos!$C$5:$C$1004,"Entrada"))</f>
        <v/>
      </c>
      <c r="J43" s="33" t="str">
        <f aca="false">IF(A43="","",IF(OR(G43="Em produção",G43="Entregue"),MAX(H43-I43,0),0))</f>
        <v/>
      </c>
      <c r="K43" s="33" t="str">
        <f aca="false">IF(A43="","",SUMIFS(Lançamentos!$G$5:$G$1004,Lançamentos!$E$5:$E$1004,A43,Lançamentos!$C$5:$C$1004,"Saída"))</f>
        <v/>
      </c>
      <c r="L43" s="33" t="str">
        <f aca="false">IF(A43="","",I43-K43)</f>
        <v/>
      </c>
      <c r="M43" s="28"/>
      <c r="N43" s="4"/>
    </row>
    <row r="44" customFormat="false" ht="15" hidden="false" customHeight="false" outlineLevel="0" collapsed="false">
      <c r="A44" s="4"/>
      <c r="B44" s="4"/>
      <c r="C44" s="4"/>
      <c r="D44" s="4"/>
      <c r="E44" s="26"/>
      <c r="F44" s="26"/>
      <c r="G44" s="32"/>
      <c r="H44" s="28"/>
      <c r="I44" s="33" t="str">
        <f aca="false">IF(A44="","",SUMIFS(Lançamentos!$G$5:$G$1004,Lançamentos!$E$5:$E$1004,A44,Lançamentos!$C$5:$C$1004,"Entrada"))</f>
        <v/>
      </c>
      <c r="J44" s="33" t="str">
        <f aca="false">IF(A44="","",IF(OR(G44="Em produção",G44="Entregue"),MAX(H44-I44,0),0))</f>
        <v/>
      </c>
      <c r="K44" s="33" t="str">
        <f aca="false">IF(A44="","",SUMIFS(Lançamentos!$G$5:$G$1004,Lançamentos!$E$5:$E$1004,A44,Lançamentos!$C$5:$C$1004,"Saída"))</f>
        <v/>
      </c>
      <c r="L44" s="33" t="str">
        <f aca="false">IF(A44="","",I44-K44)</f>
        <v/>
      </c>
      <c r="M44" s="28"/>
      <c r="N44" s="4"/>
    </row>
    <row r="45" customFormat="false" ht="15" hidden="false" customHeight="false" outlineLevel="0" collapsed="false">
      <c r="A45" s="4"/>
      <c r="B45" s="4"/>
      <c r="C45" s="4"/>
      <c r="D45" s="4"/>
      <c r="E45" s="26"/>
      <c r="F45" s="26"/>
      <c r="G45" s="32"/>
      <c r="H45" s="28"/>
      <c r="I45" s="33" t="str">
        <f aca="false">IF(A45="","",SUMIFS(Lançamentos!$G$5:$G$1004,Lançamentos!$E$5:$E$1004,A45,Lançamentos!$C$5:$C$1004,"Entrada"))</f>
        <v/>
      </c>
      <c r="J45" s="33" t="str">
        <f aca="false">IF(A45="","",IF(OR(G45="Em produção",G45="Entregue"),MAX(H45-I45,0),0))</f>
        <v/>
      </c>
      <c r="K45" s="33" t="str">
        <f aca="false">IF(A45="","",SUMIFS(Lançamentos!$G$5:$G$1004,Lançamentos!$E$5:$E$1004,A45,Lançamentos!$C$5:$C$1004,"Saída"))</f>
        <v/>
      </c>
      <c r="L45" s="33" t="str">
        <f aca="false">IF(A45="","",I45-K45)</f>
        <v/>
      </c>
      <c r="M45" s="28"/>
      <c r="N45" s="4"/>
    </row>
    <row r="46" customFormat="false" ht="15" hidden="false" customHeight="false" outlineLevel="0" collapsed="false">
      <c r="A46" s="4"/>
      <c r="B46" s="4"/>
      <c r="C46" s="4"/>
      <c r="D46" s="4"/>
      <c r="E46" s="26"/>
      <c r="F46" s="26"/>
      <c r="G46" s="32"/>
      <c r="H46" s="28"/>
      <c r="I46" s="33" t="str">
        <f aca="false">IF(A46="","",SUMIFS(Lançamentos!$G$5:$G$1004,Lançamentos!$E$5:$E$1004,A46,Lançamentos!$C$5:$C$1004,"Entrada"))</f>
        <v/>
      </c>
      <c r="J46" s="33" t="str">
        <f aca="false">IF(A46="","",IF(OR(G46="Em produção",G46="Entregue"),MAX(H46-I46,0),0))</f>
        <v/>
      </c>
      <c r="K46" s="33" t="str">
        <f aca="false">IF(A46="","",SUMIFS(Lançamentos!$G$5:$G$1004,Lançamentos!$E$5:$E$1004,A46,Lançamentos!$C$5:$C$1004,"Saída"))</f>
        <v/>
      </c>
      <c r="L46" s="33" t="str">
        <f aca="false">IF(A46="","",I46-K46)</f>
        <v/>
      </c>
      <c r="M46" s="28"/>
      <c r="N46" s="4"/>
    </row>
    <row r="47" customFormat="false" ht="15" hidden="false" customHeight="false" outlineLevel="0" collapsed="false">
      <c r="A47" s="4"/>
      <c r="B47" s="4"/>
      <c r="C47" s="4"/>
      <c r="D47" s="4"/>
      <c r="E47" s="26"/>
      <c r="F47" s="26"/>
      <c r="G47" s="32"/>
      <c r="H47" s="28"/>
      <c r="I47" s="33" t="str">
        <f aca="false">IF(A47="","",SUMIFS(Lançamentos!$G$5:$G$1004,Lançamentos!$E$5:$E$1004,A47,Lançamentos!$C$5:$C$1004,"Entrada"))</f>
        <v/>
      </c>
      <c r="J47" s="33" t="str">
        <f aca="false">IF(A47="","",IF(OR(G47="Em produção",G47="Entregue"),MAX(H47-I47,0),0))</f>
        <v/>
      </c>
      <c r="K47" s="33" t="str">
        <f aca="false">IF(A47="","",SUMIFS(Lançamentos!$G$5:$G$1004,Lançamentos!$E$5:$E$1004,A47,Lançamentos!$C$5:$C$1004,"Saída"))</f>
        <v/>
      </c>
      <c r="L47" s="33" t="str">
        <f aca="false">IF(A47="","",I47-K47)</f>
        <v/>
      </c>
      <c r="M47" s="28"/>
      <c r="N47" s="4"/>
    </row>
    <row r="48" customFormat="false" ht="15" hidden="false" customHeight="false" outlineLevel="0" collapsed="false">
      <c r="A48" s="4"/>
      <c r="B48" s="4"/>
      <c r="C48" s="4"/>
      <c r="D48" s="4"/>
      <c r="E48" s="26"/>
      <c r="F48" s="26"/>
      <c r="G48" s="32"/>
      <c r="H48" s="28"/>
      <c r="I48" s="33" t="str">
        <f aca="false">IF(A48="","",SUMIFS(Lançamentos!$G$5:$G$1004,Lançamentos!$E$5:$E$1004,A48,Lançamentos!$C$5:$C$1004,"Entrada"))</f>
        <v/>
      </c>
      <c r="J48" s="33" t="str">
        <f aca="false">IF(A48="","",IF(OR(G48="Em produção",G48="Entregue"),MAX(H48-I48,0),0))</f>
        <v/>
      </c>
      <c r="K48" s="33" t="str">
        <f aca="false">IF(A48="","",SUMIFS(Lançamentos!$G$5:$G$1004,Lançamentos!$E$5:$E$1004,A48,Lançamentos!$C$5:$C$1004,"Saída"))</f>
        <v/>
      </c>
      <c r="L48" s="33" t="str">
        <f aca="false">IF(A48="","",I48-K48)</f>
        <v/>
      </c>
      <c r="M48" s="28"/>
      <c r="N48" s="4"/>
    </row>
    <row r="49" customFormat="false" ht="15" hidden="false" customHeight="false" outlineLevel="0" collapsed="false">
      <c r="A49" s="4"/>
      <c r="B49" s="4"/>
      <c r="C49" s="4"/>
      <c r="D49" s="4"/>
      <c r="E49" s="26"/>
      <c r="F49" s="26"/>
      <c r="G49" s="32"/>
      <c r="H49" s="28"/>
      <c r="I49" s="33" t="str">
        <f aca="false">IF(A49="","",SUMIFS(Lançamentos!$G$5:$G$1004,Lançamentos!$E$5:$E$1004,A49,Lançamentos!$C$5:$C$1004,"Entrada"))</f>
        <v/>
      </c>
      <c r="J49" s="33" t="str">
        <f aca="false">IF(A49="","",IF(OR(G49="Em produção",G49="Entregue"),MAX(H49-I49,0),0))</f>
        <v/>
      </c>
      <c r="K49" s="33" t="str">
        <f aca="false">IF(A49="","",SUMIFS(Lançamentos!$G$5:$G$1004,Lançamentos!$E$5:$E$1004,A49,Lançamentos!$C$5:$C$1004,"Saída"))</f>
        <v/>
      </c>
      <c r="L49" s="33" t="str">
        <f aca="false">IF(A49="","",I49-K49)</f>
        <v/>
      </c>
      <c r="M49" s="28"/>
      <c r="N49" s="4"/>
    </row>
    <row r="50" customFormat="false" ht="15" hidden="false" customHeight="false" outlineLevel="0" collapsed="false">
      <c r="A50" s="4"/>
      <c r="B50" s="4"/>
      <c r="C50" s="4"/>
      <c r="D50" s="4"/>
      <c r="E50" s="26"/>
      <c r="F50" s="26"/>
      <c r="G50" s="32"/>
      <c r="H50" s="28"/>
      <c r="I50" s="33" t="str">
        <f aca="false">IF(A50="","",SUMIFS(Lançamentos!$G$5:$G$1004,Lançamentos!$E$5:$E$1004,A50,Lançamentos!$C$5:$C$1004,"Entrada"))</f>
        <v/>
      </c>
      <c r="J50" s="33" t="str">
        <f aca="false">IF(A50="","",IF(OR(G50="Em produção",G50="Entregue"),MAX(H50-I50,0),0))</f>
        <v/>
      </c>
      <c r="K50" s="33" t="str">
        <f aca="false">IF(A50="","",SUMIFS(Lançamentos!$G$5:$G$1004,Lançamentos!$E$5:$E$1004,A50,Lançamentos!$C$5:$C$1004,"Saída"))</f>
        <v/>
      </c>
      <c r="L50" s="33" t="str">
        <f aca="false">IF(A50="","",I50-K50)</f>
        <v/>
      </c>
      <c r="M50" s="28"/>
      <c r="N50" s="4"/>
    </row>
    <row r="51" customFormat="false" ht="15" hidden="false" customHeight="false" outlineLevel="0" collapsed="false">
      <c r="A51" s="4"/>
      <c r="B51" s="4"/>
      <c r="C51" s="4"/>
      <c r="D51" s="4"/>
      <c r="E51" s="26"/>
      <c r="F51" s="26"/>
      <c r="G51" s="32"/>
      <c r="H51" s="28"/>
      <c r="I51" s="33" t="str">
        <f aca="false">IF(A51="","",SUMIFS(Lançamentos!$G$5:$G$1004,Lançamentos!$E$5:$E$1004,A51,Lançamentos!$C$5:$C$1004,"Entrada"))</f>
        <v/>
      </c>
      <c r="J51" s="33" t="str">
        <f aca="false">IF(A51="","",IF(OR(G51="Em produção",G51="Entregue"),MAX(H51-I51,0),0))</f>
        <v/>
      </c>
      <c r="K51" s="33" t="str">
        <f aca="false">IF(A51="","",SUMIFS(Lançamentos!$G$5:$G$1004,Lançamentos!$E$5:$E$1004,A51,Lançamentos!$C$5:$C$1004,"Saída"))</f>
        <v/>
      </c>
      <c r="L51" s="33" t="str">
        <f aca="false">IF(A51="","",I51-K51)</f>
        <v/>
      </c>
      <c r="M51" s="28"/>
      <c r="N51" s="4"/>
    </row>
    <row r="52" customFormat="false" ht="15" hidden="false" customHeight="false" outlineLevel="0" collapsed="false">
      <c r="A52" s="4"/>
      <c r="B52" s="4"/>
      <c r="C52" s="4"/>
      <c r="D52" s="4"/>
      <c r="E52" s="26"/>
      <c r="F52" s="26"/>
      <c r="G52" s="32"/>
      <c r="H52" s="28"/>
      <c r="I52" s="33" t="str">
        <f aca="false">IF(A52="","",SUMIFS(Lançamentos!$G$5:$G$1004,Lançamentos!$E$5:$E$1004,A52,Lançamentos!$C$5:$C$1004,"Entrada"))</f>
        <v/>
      </c>
      <c r="J52" s="33" t="str">
        <f aca="false">IF(A52="","",IF(OR(G52="Em produção",G52="Entregue"),MAX(H52-I52,0),0))</f>
        <v/>
      </c>
      <c r="K52" s="33" t="str">
        <f aca="false">IF(A52="","",SUMIFS(Lançamentos!$G$5:$G$1004,Lançamentos!$E$5:$E$1004,A52,Lançamentos!$C$5:$C$1004,"Saída"))</f>
        <v/>
      </c>
      <c r="L52" s="33" t="str">
        <f aca="false">IF(A52="","",I52-K52)</f>
        <v/>
      </c>
      <c r="M52" s="28"/>
      <c r="N52" s="4"/>
    </row>
    <row r="53" customFormat="false" ht="15" hidden="false" customHeight="false" outlineLevel="0" collapsed="false">
      <c r="A53" s="4"/>
      <c r="B53" s="4"/>
      <c r="C53" s="4"/>
      <c r="D53" s="4"/>
      <c r="E53" s="26"/>
      <c r="F53" s="26"/>
      <c r="G53" s="32"/>
      <c r="H53" s="28"/>
      <c r="I53" s="33" t="str">
        <f aca="false">IF(A53="","",SUMIFS(Lançamentos!$G$5:$G$1004,Lançamentos!$E$5:$E$1004,A53,Lançamentos!$C$5:$C$1004,"Entrada"))</f>
        <v/>
      </c>
      <c r="J53" s="33" t="str">
        <f aca="false">IF(A53="","",IF(OR(G53="Em produção",G53="Entregue"),MAX(H53-I53,0),0))</f>
        <v/>
      </c>
      <c r="K53" s="33" t="str">
        <f aca="false">IF(A53="","",SUMIFS(Lançamentos!$G$5:$G$1004,Lançamentos!$E$5:$E$1004,A53,Lançamentos!$C$5:$C$1004,"Saída"))</f>
        <v/>
      </c>
      <c r="L53" s="33" t="str">
        <f aca="false">IF(A53="","",I53-K53)</f>
        <v/>
      </c>
      <c r="M53" s="28"/>
      <c r="N53" s="4"/>
    </row>
    <row r="54" customFormat="false" ht="15" hidden="false" customHeight="false" outlineLevel="0" collapsed="false">
      <c r="A54" s="4"/>
      <c r="B54" s="4"/>
      <c r="C54" s="4"/>
      <c r="D54" s="4"/>
      <c r="E54" s="26"/>
      <c r="F54" s="26"/>
      <c r="G54" s="32"/>
      <c r="H54" s="28"/>
      <c r="I54" s="33" t="str">
        <f aca="false">IF(A54="","",SUMIFS(Lançamentos!$G$5:$G$1004,Lançamentos!$E$5:$E$1004,A54,Lançamentos!$C$5:$C$1004,"Entrada"))</f>
        <v/>
      </c>
      <c r="J54" s="33" t="str">
        <f aca="false">IF(A54="","",IF(OR(G54="Em produção",G54="Entregue"),MAX(H54-I54,0),0))</f>
        <v/>
      </c>
      <c r="K54" s="33" t="str">
        <f aca="false">IF(A54="","",SUMIFS(Lançamentos!$G$5:$G$1004,Lançamentos!$E$5:$E$1004,A54,Lançamentos!$C$5:$C$1004,"Saída"))</f>
        <v/>
      </c>
      <c r="L54" s="33" t="str">
        <f aca="false">IF(A54="","",I54-K54)</f>
        <v/>
      </c>
      <c r="M54" s="28"/>
      <c r="N54" s="4"/>
    </row>
    <row r="55" customFormat="false" ht="15" hidden="false" customHeight="false" outlineLevel="0" collapsed="false">
      <c r="A55" s="4"/>
      <c r="B55" s="4"/>
      <c r="C55" s="4"/>
      <c r="D55" s="4"/>
      <c r="E55" s="26"/>
      <c r="F55" s="26"/>
      <c r="G55" s="32"/>
      <c r="H55" s="28"/>
      <c r="I55" s="33" t="str">
        <f aca="false">IF(A55="","",SUMIFS(Lançamentos!$G$5:$G$1004,Lançamentos!$E$5:$E$1004,A55,Lançamentos!$C$5:$C$1004,"Entrada"))</f>
        <v/>
      </c>
      <c r="J55" s="33" t="str">
        <f aca="false">IF(A55="","",IF(OR(G55="Em produção",G55="Entregue"),MAX(H55-I55,0),0))</f>
        <v/>
      </c>
      <c r="K55" s="33" t="str">
        <f aca="false">IF(A55="","",SUMIFS(Lançamentos!$G$5:$G$1004,Lançamentos!$E$5:$E$1004,A55,Lançamentos!$C$5:$C$1004,"Saída"))</f>
        <v/>
      </c>
      <c r="L55" s="33" t="str">
        <f aca="false">IF(A55="","",I55-K55)</f>
        <v/>
      </c>
      <c r="M55" s="28"/>
      <c r="N55" s="4"/>
    </row>
    <row r="56" customFormat="false" ht="15" hidden="false" customHeight="false" outlineLevel="0" collapsed="false">
      <c r="A56" s="4"/>
      <c r="B56" s="4"/>
      <c r="C56" s="4"/>
      <c r="D56" s="4"/>
      <c r="E56" s="26"/>
      <c r="F56" s="26"/>
      <c r="G56" s="32"/>
      <c r="H56" s="28"/>
      <c r="I56" s="33" t="str">
        <f aca="false">IF(A56="","",SUMIFS(Lançamentos!$G$5:$G$1004,Lançamentos!$E$5:$E$1004,A56,Lançamentos!$C$5:$C$1004,"Entrada"))</f>
        <v/>
      </c>
      <c r="J56" s="33" t="str">
        <f aca="false">IF(A56="","",IF(OR(G56="Em produção",G56="Entregue"),MAX(H56-I56,0),0))</f>
        <v/>
      </c>
      <c r="K56" s="33" t="str">
        <f aca="false">IF(A56="","",SUMIFS(Lançamentos!$G$5:$G$1004,Lançamentos!$E$5:$E$1004,A56,Lançamentos!$C$5:$C$1004,"Saída"))</f>
        <v/>
      </c>
      <c r="L56" s="33" t="str">
        <f aca="false">IF(A56="","",I56-K56)</f>
        <v/>
      </c>
      <c r="M56" s="28"/>
      <c r="N56" s="4"/>
    </row>
    <row r="57" customFormat="false" ht="15" hidden="false" customHeight="false" outlineLevel="0" collapsed="false">
      <c r="A57" s="4"/>
      <c r="B57" s="4"/>
      <c r="C57" s="4"/>
      <c r="D57" s="4"/>
      <c r="E57" s="26"/>
      <c r="F57" s="26"/>
      <c r="G57" s="32"/>
      <c r="H57" s="28"/>
      <c r="I57" s="33" t="str">
        <f aca="false">IF(A57="","",SUMIFS(Lançamentos!$G$5:$G$1004,Lançamentos!$E$5:$E$1004,A57,Lançamentos!$C$5:$C$1004,"Entrada"))</f>
        <v/>
      </c>
      <c r="J57" s="33" t="str">
        <f aca="false">IF(A57="","",IF(OR(G57="Em produção",G57="Entregue"),MAX(H57-I57,0),0))</f>
        <v/>
      </c>
      <c r="K57" s="33" t="str">
        <f aca="false">IF(A57="","",SUMIFS(Lançamentos!$G$5:$G$1004,Lançamentos!$E$5:$E$1004,A57,Lançamentos!$C$5:$C$1004,"Saída"))</f>
        <v/>
      </c>
      <c r="L57" s="33" t="str">
        <f aca="false">IF(A57="","",I57-K57)</f>
        <v/>
      </c>
      <c r="M57" s="28"/>
      <c r="N57" s="4"/>
    </row>
    <row r="58" customFormat="false" ht="15" hidden="false" customHeight="false" outlineLevel="0" collapsed="false">
      <c r="A58" s="4"/>
      <c r="B58" s="4"/>
      <c r="C58" s="4"/>
      <c r="D58" s="4"/>
      <c r="E58" s="26"/>
      <c r="F58" s="26"/>
      <c r="G58" s="32"/>
      <c r="H58" s="28"/>
      <c r="I58" s="33" t="str">
        <f aca="false">IF(A58="","",SUMIFS(Lançamentos!$G$5:$G$1004,Lançamentos!$E$5:$E$1004,A58,Lançamentos!$C$5:$C$1004,"Entrada"))</f>
        <v/>
      </c>
      <c r="J58" s="33" t="str">
        <f aca="false">IF(A58="","",IF(OR(G58="Em produção",G58="Entregue"),MAX(H58-I58,0),0))</f>
        <v/>
      </c>
      <c r="K58" s="33" t="str">
        <f aca="false">IF(A58="","",SUMIFS(Lançamentos!$G$5:$G$1004,Lançamentos!$E$5:$E$1004,A58,Lançamentos!$C$5:$C$1004,"Saída"))</f>
        <v/>
      </c>
      <c r="L58" s="33" t="str">
        <f aca="false">IF(A58="","",I58-K58)</f>
        <v/>
      </c>
      <c r="M58" s="28"/>
      <c r="N58" s="4"/>
    </row>
    <row r="59" customFormat="false" ht="15" hidden="false" customHeight="false" outlineLevel="0" collapsed="false">
      <c r="A59" s="4"/>
      <c r="B59" s="4"/>
      <c r="C59" s="4"/>
      <c r="D59" s="4"/>
      <c r="E59" s="26"/>
      <c r="F59" s="26"/>
      <c r="G59" s="32"/>
      <c r="H59" s="28"/>
      <c r="I59" s="33" t="str">
        <f aca="false">IF(A59="","",SUMIFS(Lançamentos!$G$5:$G$1004,Lançamentos!$E$5:$E$1004,A59,Lançamentos!$C$5:$C$1004,"Entrada"))</f>
        <v/>
      </c>
      <c r="J59" s="33" t="str">
        <f aca="false">IF(A59="","",IF(OR(G59="Em produção",G59="Entregue"),MAX(H59-I59,0),0))</f>
        <v/>
      </c>
      <c r="K59" s="33" t="str">
        <f aca="false">IF(A59="","",SUMIFS(Lançamentos!$G$5:$G$1004,Lançamentos!$E$5:$E$1004,A59,Lançamentos!$C$5:$C$1004,"Saída"))</f>
        <v/>
      </c>
      <c r="L59" s="33" t="str">
        <f aca="false">IF(A59="","",I59-K59)</f>
        <v/>
      </c>
      <c r="M59" s="28"/>
      <c r="N59" s="4"/>
    </row>
    <row r="60" customFormat="false" ht="15" hidden="false" customHeight="false" outlineLevel="0" collapsed="false">
      <c r="A60" s="4"/>
      <c r="B60" s="4"/>
      <c r="C60" s="4"/>
      <c r="D60" s="4"/>
      <c r="E60" s="26"/>
      <c r="F60" s="26"/>
      <c r="G60" s="32"/>
      <c r="H60" s="28"/>
      <c r="I60" s="33" t="str">
        <f aca="false">IF(A60="","",SUMIFS(Lançamentos!$G$5:$G$1004,Lançamentos!$E$5:$E$1004,A60,Lançamentos!$C$5:$C$1004,"Entrada"))</f>
        <v/>
      </c>
      <c r="J60" s="33" t="str">
        <f aca="false">IF(A60="","",IF(OR(G60="Em produção",G60="Entregue"),MAX(H60-I60,0),0))</f>
        <v/>
      </c>
      <c r="K60" s="33" t="str">
        <f aca="false">IF(A60="","",SUMIFS(Lançamentos!$G$5:$G$1004,Lançamentos!$E$5:$E$1004,A60,Lançamentos!$C$5:$C$1004,"Saída"))</f>
        <v/>
      </c>
      <c r="L60" s="33" t="str">
        <f aca="false">IF(A60="","",I60-K60)</f>
        <v/>
      </c>
      <c r="M60" s="28"/>
      <c r="N60" s="4"/>
    </row>
    <row r="61" customFormat="false" ht="15" hidden="false" customHeight="false" outlineLevel="0" collapsed="false">
      <c r="A61" s="4"/>
      <c r="B61" s="4"/>
      <c r="C61" s="4"/>
      <c r="D61" s="4"/>
      <c r="E61" s="26"/>
      <c r="F61" s="26"/>
      <c r="G61" s="32"/>
      <c r="H61" s="28"/>
      <c r="I61" s="33" t="str">
        <f aca="false">IF(A61="","",SUMIFS(Lançamentos!$G$5:$G$1004,Lançamentos!$E$5:$E$1004,A61,Lançamentos!$C$5:$C$1004,"Entrada"))</f>
        <v/>
      </c>
      <c r="J61" s="33" t="str">
        <f aca="false">IF(A61="","",IF(OR(G61="Em produção",G61="Entregue"),MAX(H61-I61,0),0))</f>
        <v/>
      </c>
      <c r="K61" s="33" t="str">
        <f aca="false">IF(A61="","",SUMIFS(Lançamentos!$G$5:$G$1004,Lançamentos!$E$5:$E$1004,A61,Lançamentos!$C$5:$C$1004,"Saída"))</f>
        <v/>
      </c>
      <c r="L61" s="33" t="str">
        <f aca="false">IF(A61="","",I61-K61)</f>
        <v/>
      </c>
      <c r="M61" s="28"/>
      <c r="N61" s="4"/>
    </row>
    <row r="62" customFormat="false" ht="15" hidden="false" customHeight="false" outlineLevel="0" collapsed="false">
      <c r="A62" s="4"/>
      <c r="B62" s="4"/>
      <c r="C62" s="4"/>
      <c r="D62" s="4"/>
      <c r="E62" s="26"/>
      <c r="F62" s="26"/>
      <c r="G62" s="32"/>
      <c r="H62" s="28"/>
      <c r="I62" s="33" t="str">
        <f aca="false">IF(A62="","",SUMIFS(Lançamentos!$G$5:$G$1004,Lançamentos!$E$5:$E$1004,A62,Lançamentos!$C$5:$C$1004,"Entrada"))</f>
        <v/>
      </c>
      <c r="J62" s="33" t="str">
        <f aca="false">IF(A62="","",IF(OR(G62="Em produção",G62="Entregue"),MAX(H62-I62,0),0))</f>
        <v/>
      </c>
      <c r="K62" s="33" t="str">
        <f aca="false">IF(A62="","",SUMIFS(Lançamentos!$G$5:$G$1004,Lançamentos!$E$5:$E$1004,A62,Lançamentos!$C$5:$C$1004,"Saída"))</f>
        <v/>
      </c>
      <c r="L62" s="33" t="str">
        <f aca="false">IF(A62="","",I62-K62)</f>
        <v/>
      </c>
      <c r="M62" s="28"/>
      <c r="N62" s="4"/>
    </row>
    <row r="63" customFormat="false" ht="15" hidden="false" customHeight="false" outlineLevel="0" collapsed="false">
      <c r="A63" s="4"/>
      <c r="B63" s="4"/>
      <c r="C63" s="4"/>
      <c r="D63" s="4"/>
      <c r="E63" s="26"/>
      <c r="F63" s="26"/>
      <c r="G63" s="32"/>
      <c r="H63" s="28"/>
      <c r="I63" s="33" t="str">
        <f aca="false">IF(A63="","",SUMIFS(Lançamentos!$G$5:$G$1004,Lançamentos!$E$5:$E$1004,A63,Lançamentos!$C$5:$C$1004,"Entrada"))</f>
        <v/>
      </c>
      <c r="J63" s="33" t="str">
        <f aca="false">IF(A63="","",IF(OR(G63="Em produção",G63="Entregue"),MAX(H63-I63,0),0))</f>
        <v/>
      </c>
      <c r="K63" s="33" t="str">
        <f aca="false">IF(A63="","",SUMIFS(Lançamentos!$G$5:$G$1004,Lançamentos!$E$5:$E$1004,A63,Lançamentos!$C$5:$C$1004,"Saída"))</f>
        <v/>
      </c>
      <c r="L63" s="33" t="str">
        <f aca="false">IF(A63="","",I63-K63)</f>
        <v/>
      </c>
      <c r="M63" s="28"/>
      <c r="N63" s="4"/>
    </row>
    <row r="64" customFormat="false" ht="15" hidden="false" customHeight="false" outlineLevel="0" collapsed="false">
      <c r="A64" s="4"/>
      <c r="B64" s="4"/>
      <c r="C64" s="4"/>
      <c r="D64" s="4"/>
      <c r="E64" s="26"/>
      <c r="F64" s="26"/>
      <c r="G64" s="32"/>
      <c r="H64" s="28"/>
      <c r="I64" s="33" t="str">
        <f aca="false">IF(A64="","",SUMIFS(Lançamentos!$G$5:$G$1004,Lançamentos!$E$5:$E$1004,A64,Lançamentos!$C$5:$C$1004,"Entrada"))</f>
        <v/>
      </c>
      <c r="J64" s="33" t="str">
        <f aca="false">IF(A64="","",IF(OR(G64="Em produção",G64="Entregue"),MAX(H64-I64,0),0))</f>
        <v/>
      </c>
      <c r="K64" s="33" t="str">
        <f aca="false">IF(A64="","",SUMIFS(Lançamentos!$G$5:$G$1004,Lançamentos!$E$5:$E$1004,A64,Lançamentos!$C$5:$C$1004,"Saída"))</f>
        <v/>
      </c>
      <c r="L64" s="33" t="str">
        <f aca="false">IF(A64="","",I64-K64)</f>
        <v/>
      </c>
      <c r="M64" s="28"/>
      <c r="N64" s="4"/>
    </row>
    <row r="65" customFormat="false" ht="15" hidden="false" customHeight="false" outlineLevel="0" collapsed="false">
      <c r="A65" s="4"/>
      <c r="B65" s="4"/>
      <c r="C65" s="4"/>
      <c r="D65" s="4"/>
      <c r="E65" s="26"/>
      <c r="F65" s="26"/>
      <c r="G65" s="32"/>
      <c r="H65" s="28"/>
      <c r="I65" s="33" t="str">
        <f aca="false">IF(A65="","",SUMIFS(Lançamentos!$G$5:$G$1004,Lançamentos!$E$5:$E$1004,A65,Lançamentos!$C$5:$C$1004,"Entrada"))</f>
        <v/>
      </c>
      <c r="J65" s="33" t="str">
        <f aca="false">IF(A65="","",IF(OR(G65="Em produção",G65="Entregue"),MAX(H65-I65,0),0))</f>
        <v/>
      </c>
      <c r="K65" s="33" t="str">
        <f aca="false">IF(A65="","",SUMIFS(Lançamentos!$G$5:$G$1004,Lançamentos!$E$5:$E$1004,A65,Lançamentos!$C$5:$C$1004,"Saída"))</f>
        <v/>
      </c>
      <c r="L65" s="33" t="str">
        <f aca="false">IF(A65="","",I65-K65)</f>
        <v/>
      </c>
      <c r="M65" s="28"/>
      <c r="N65" s="4"/>
    </row>
    <row r="66" customFormat="false" ht="15" hidden="false" customHeight="false" outlineLevel="0" collapsed="false">
      <c r="A66" s="4"/>
      <c r="B66" s="4"/>
      <c r="C66" s="4"/>
      <c r="D66" s="4"/>
      <c r="E66" s="26"/>
      <c r="F66" s="26"/>
      <c r="G66" s="32"/>
      <c r="H66" s="28"/>
      <c r="I66" s="33" t="str">
        <f aca="false">IF(A66="","",SUMIFS(Lançamentos!$G$5:$G$1004,Lançamentos!$E$5:$E$1004,A66,Lançamentos!$C$5:$C$1004,"Entrada"))</f>
        <v/>
      </c>
      <c r="J66" s="33" t="str">
        <f aca="false">IF(A66="","",IF(OR(G66="Em produção",G66="Entregue"),MAX(H66-I66,0),0))</f>
        <v/>
      </c>
      <c r="K66" s="33" t="str">
        <f aca="false">IF(A66="","",SUMIFS(Lançamentos!$G$5:$G$1004,Lançamentos!$E$5:$E$1004,A66,Lançamentos!$C$5:$C$1004,"Saída"))</f>
        <v/>
      </c>
      <c r="L66" s="33" t="str">
        <f aca="false">IF(A66="","",I66-K66)</f>
        <v/>
      </c>
      <c r="M66" s="28"/>
      <c r="N66" s="4"/>
    </row>
    <row r="67" customFormat="false" ht="15" hidden="false" customHeight="false" outlineLevel="0" collapsed="false">
      <c r="A67" s="4"/>
      <c r="B67" s="4"/>
      <c r="C67" s="4"/>
      <c r="D67" s="4"/>
      <c r="E67" s="26"/>
      <c r="F67" s="26"/>
      <c r="G67" s="32"/>
      <c r="H67" s="28"/>
      <c r="I67" s="33" t="str">
        <f aca="false">IF(A67="","",SUMIFS(Lançamentos!$G$5:$G$1004,Lançamentos!$E$5:$E$1004,A67,Lançamentos!$C$5:$C$1004,"Entrada"))</f>
        <v/>
      </c>
      <c r="J67" s="33" t="str">
        <f aca="false">IF(A67="","",IF(OR(G67="Em produção",G67="Entregue"),MAX(H67-I67,0),0))</f>
        <v/>
      </c>
      <c r="K67" s="33" t="str">
        <f aca="false">IF(A67="","",SUMIFS(Lançamentos!$G$5:$G$1004,Lançamentos!$E$5:$E$1004,A67,Lançamentos!$C$5:$C$1004,"Saída"))</f>
        <v/>
      </c>
      <c r="L67" s="33" t="str">
        <f aca="false">IF(A67="","",I67-K67)</f>
        <v/>
      </c>
      <c r="M67" s="28"/>
      <c r="N67" s="4"/>
    </row>
    <row r="68" customFormat="false" ht="15" hidden="false" customHeight="false" outlineLevel="0" collapsed="false">
      <c r="A68" s="4"/>
      <c r="B68" s="4"/>
      <c r="C68" s="4"/>
      <c r="D68" s="4"/>
      <c r="E68" s="26"/>
      <c r="F68" s="26"/>
      <c r="G68" s="32"/>
      <c r="H68" s="28"/>
      <c r="I68" s="33" t="str">
        <f aca="false">IF(A68="","",SUMIFS(Lançamentos!$G$5:$G$1004,Lançamentos!$E$5:$E$1004,A68,Lançamentos!$C$5:$C$1004,"Entrada"))</f>
        <v/>
      </c>
      <c r="J68" s="33" t="str">
        <f aca="false">IF(A68="","",IF(OR(G68="Em produção",G68="Entregue"),MAX(H68-I68,0),0))</f>
        <v/>
      </c>
      <c r="K68" s="33" t="str">
        <f aca="false">IF(A68="","",SUMIFS(Lançamentos!$G$5:$G$1004,Lançamentos!$E$5:$E$1004,A68,Lançamentos!$C$5:$C$1004,"Saída"))</f>
        <v/>
      </c>
      <c r="L68" s="33" t="str">
        <f aca="false">IF(A68="","",I68-K68)</f>
        <v/>
      </c>
      <c r="M68" s="28"/>
      <c r="N68" s="4"/>
    </row>
    <row r="69" customFormat="false" ht="15" hidden="false" customHeight="false" outlineLevel="0" collapsed="false">
      <c r="A69" s="4"/>
      <c r="B69" s="4"/>
      <c r="C69" s="4"/>
      <c r="D69" s="4"/>
      <c r="E69" s="26"/>
      <c r="F69" s="26"/>
      <c r="G69" s="32"/>
      <c r="H69" s="28"/>
      <c r="I69" s="33" t="str">
        <f aca="false">IF(A69="","",SUMIFS(Lançamentos!$G$5:$G$1004,Lançamentos!$E$5:$E$1004,A69,Lançamentos!$C$5:$C$1004,"Entrada"))</f>
        <v/>
      </c>
      <c r="J69" s="33" t="str">
        <f aca="false">IF(A69="","",IF(OR(G69="Em produção",G69="Entregue"),MAX(H69-I69,0),0))</f>
        <v/>
      </c>
      <c r="K69" s="33" t="str">
        <f aca="false">IF(A69="","",SUMIFS(Lançamentos!$G$5:$G$1004,Lançamentos!$E$5:$E$1004,A69,Lançamentos!$C$5:$C$1004,"Saída"))</f>
        <v/>
      </c>
      <c r="L69" s="33" t="str">
        <f aca="false">IF(A69="","",I69-K69)</f>
        <v/>
      </c>
      <c r="M69" s="28"/>
      <c r="N69" s="4"/>
    </row>
    <row r="70" customFormat="false" ht="15" hidden="false" customHeight="false" outlineLevel="0" collapsed="false">
      <c r="A70" s="4"/>
      <c r="B70" s="4"/>
      <c r="C70" s="4"/>
      <c r="D70" s="4"/>
      <c r="E70" s="26"/>
      <c r="F70" s="26"/>
      <c r="G70" s="32"/>
      <c r="H70" s="28"/>
      <c r="I70" s="33" t="str">
        <f aca="false">IF(A70="","",SUMIFS(Lançamentos!$G$5:$G$1004,Lançamentos!$E$5:$E$1004,A70,Lançamentos!$C$5:$C$1004,"Entrada"))</f>
        <v/>
      </c>
      <c r="J70" s="33" t="str">
        <f aca="false">IF(A70="","",IF(OR(G70="Em produção",G70="Entregue"),MAX(H70-I70,0),0))</f>
        <v/>
      </c>
      <c r="K70" s="33" t="str">
        <f aca="false">IF(A70="","",SUMIFS(Lançamentos!$G$5:$G$1004,Lançamentos!$E$5:$E$1004,A70,Lançamentos!$C$5:$C$1004,"Saída"))</f>
        <v/>
      </c>
      <c r="L70" s="33" t="str">
        <f aca="false">IF(A70="","",I70-K70)</f>
        <v/>
      </c>
      <c r="M70" s="28"/>
      <c r="N70" s="4"/>
    </row>
    <row r="71" customFormat="false" ht="15" hidden="false" customHeight="false" outlineLevel="0" collapsed="false">
      <c r="A71" s="4"/>
      <c r="B71" s="4"/>
      <c r="C71" s="4"/>
      <c r="D71" s="4"/>
      <c r="E71" s="26"/>
      <c r="F71" s="26"/>
      <c r="G71" s="32"/>
      <c r="H71" s="28"/>
      <c r="I71" s="33" t="str">
        <f aca="false">IF(A71="","",SUMIFS(Lançamentos!$G$5:$G$1004,Lançamentos!$E$5:$E$1004,A71,Lançamentos!$C$5:$C$1004,"Entrada"))</f>
        <v/>
      </c>
      <c r="J71" s="33" t="str">
        <f aca="false">IF(A71="","",IF(OR(G71="Em produção",G71="Entregue"),MAX(H71-I71,0),0))</f>
        <v/>
      </c>
      <c r="K71" s="33" t="str">
        <f aca="false">IF(A71="","",SUMIFS(Lançamentos!$G$5:$G$1004,Lançamentos!$E$5:$E$1004,A71,Lançamentos!$C$5:$C$1004,"Saída"))</f>
        <v/>
      </c>
      <c r="L71" s="33" t="str">
        <f aca="false">IF(A71="","",I71-K71)</f>
        <v/>
      </c>
      <c r="M71" s="28"/>
      <c r="N71" s="4"/>
    </row>
    <row r="72" customFormat="false" ht="15" hidden="false" customHeight="false" outlineLevel="0" collapsed="false">
      <c r="A72" s="4"/>
      <c r="B72" s="4"/>
      <c r="C72" s="4"/>
      <c r="D72" s="4"/>
      <c r="E72" s="26"/>
      <c r="F72" s="26"/>
      <c r="G72" s="32"/>
      <c r="H72" s="28"/>
      <c r="I72" s="33" t="str">
        <f aca="false">IF(A72="","",SUMIFS(Lançamentos!$G$5:$G$1004,Lançamentos!$E$5:$E$1004,A72,Lançamentos!$C$5:$C$1004,"Entrada"))</f>
        <v/>
      </c>
      <c r="J72" s="33" t="str">
        <f aca="false">IF(A72="","",IF(OR(G72="Em produção",G72="Entregue"),MAX(H72-I72,0),0))</f>
        <v/>
      </c>
      <c r="K72" s="33" t="str">
        <f aca="false">IF(A72="","",SUMIFS(Lançamentos!$G$5:$G$1004,Lançamentos!$E$5:$E$1004,A72,Lançamentos!$C$5:$C$1004,"Saída"))</f>
        <v/>
      </c>
      <c r="L72" s="33" t="str">
        <f aca="false">IF(A72="","",I72-K72)</f>
        <v/>
      </c>
      <c r="M72" s="28"/>
      <c r="N72" s="4"/>
    </row>
    <row r="73" customFormat="false" ht="15" hidden="false" customHeight="false" outlineLevel="0" collapsed="false">
      <c r="A73" s="4"/>
      <c r="B73" s="4"/>
      <c r="C73" s="4"/>
      <c r="D73" s="4"/>
      <c r="E73" s="26"/>
      <c r="F73" s="26"/>
      <c r="G73" s="32"/>
      <c r="H73" s="28"/>
      <c r="I73" s="33" t="str">
        <f aca="false">IF(A73="","",SUMIFS(Lançamentos!$G$5:$G$1004,Lançamentos!$E$5:$E$1004,A73,Lançamentos!$C$5:$C$1004,"Entrada"))</f>
        <v/>
      </c>
      <c r="J73" s="33" t="str">
        <f aca="false">IF(A73="","",IF(OR(G73="Em produção",G73="Entregue"),MAX(H73-I73,0),0))</f>
        <v/>
      </c>
      <c r="K73" s="33" t="str">
        <f aca="false">IF(A73="","",SUMIFS(Lançamentos!$G$5:$G$1004,Lançamentos!$E$5:$E$1004,A73,Lançamentos!$C$5:$C$1004,"Saída"))</f>
        <v/>
      </c>
      <c r="L73" s="33" t="str">
        <f aca="false">IF(A73="","",I73-K73)</f>
        <v/>
      </c>
      <c r="M73" s="28"/>
      <c r="N73" s="4"/>
    </row>
    <row r="74" customFormat="false" ht="15" hidden="false" customHeight="false" outlineLevel="0" collapsed="false">
      <c r="A74" s="4"/>
      <c r="B74" s="4"/>
      <c r="C74" s="4"/>
      <c r="D74" s="4"/>
      <c r="E74" s="26"/>
      <c r="F74" s="26"/>
      <c r="G74" s="32"/>
      <c r="H74" s="28"/>
      <c r="I74" s="33" t="str">
        <f aca="false">IF(A74="","",SUMIFS(Lançamentos!$G$5:$G$1004,Lançamentos!$E$5:$E$1004,A74,Lançamentos!$C$5:$C$1004,"Entrada"))</f>
        <v/>
      </c>
      <c r="J74" s="33" t="str">
        <f aca="false">IF(A74="","",IF(OR(G74="Em produção",G74="Entregue"),MAX(H74-I74,0),0))</f>
        <v/>
      </c>
      <c r="K74" s="33" t="str">
        <f aca="false">IF(A74="","",SUMIFS(Lançamentos!$G$5:$G$1004,Lançamentos!$E$5:$E$1004,A74,Lançamentos!$C$5:$C$1004,"Saída"))</f>
        <v/>
      </c>
      <c r="L74" s="33" t="str">
        <f aca="false">IF(A74="","",I74-K74)</f>
        <v/>
      </c>
      <c r="M74" s="28"/>
      <c r="N74" s="4"/>
    </row>
    <row r="75" customFormat="false" ht="15" hidden="false" customHeight="false" outlineLevel="0" collapsed="false">
      <c r="A75" s="4"/>
      <c r="B75" s="4"/>
      <c r="C75" s="4"/>
      <c r="D75" s="4"/>
      <c r="E75" s="26"/>
      <c r="F75" s="26"/>
      <c r="G75" s="32"/>
      <c r="H75" s="28"/>
      <c r="I75" s="33" t="str">
        <f aca="false">IF(A75="","",SUMIFS(Lançamentos!$G$5:$G$1004,Lançamentos!$E$5:$E$1004,A75,Lançamentos!$C$5:$C$1004,"Entrada"))</f>
        <v/>
      </c>
      <c r="J75" s="33" t="str">
        <f aca="false">IF(A75="","",IF(OR(G75="Em produção",G75="Entregue"),MAX(H75-I75,0),0))</f>
        <v/>
      </c>
      <c r="K75" s="33" t="str">
        <f aca="false">IF(A75="","",SUMIFS(Lançamentos!$G$5:$G$1004,Lançamentos!$E$5:$E$1004,A75,Lançamentos!$C$5:$C$1004,"Saída"))</f>
        <v/>
      </c>
      <c r="L75" s="33" t="str">
        <f aca="false">IF(A75="","",I75-K75)</f>
        <v/>
      </c>
      <c r="M75" s="28"/>
      <c r="N75" s="4"/>
    </row>
    <row r="76" customFormat="false" ht="15" hidden="false" customHeight="false" outlineLevel="0" collapsed="false">
      <c r="A76" s="4"/>
      <c r="B76" s="4"/>
      <c r="C76" s="4"/>
      <c r="D76" s="4"/>
      <c r="E76" s="26"/>
      <c r="F76" s="26"/>
      <c r="G76" s="32"/>
      <c r="H76" s="28"/>
      <c r="I76" s="33" t="str">
        <f aca="false">IF(A76="","",SUMIFS(Lançamentos!$G$5:$G$1004,Lançamentos!$E$5:$E$1004,A76,Lançamentos!$C$5:$C$1004,"Entrada"))</f>
        <v/>
      </c>
      <c r="J76" s="33" t="str">
        <f aca="false">IF(A76="","",IF(OR(G76="Em produção",G76="Entregue"),MAX(H76-I76,0),0))</f>
        <v/>
      </c>
      <c r="K76" s="33" t="str">
        <f aca="false">IF(A76="","",SUMIFS(Lançamentos!$G$5:$G$1004,Lançamentos!$E$5:$E$1004,A76,Lançamentos!$C$5:$C$1004,"Saída"))</f>
        <v/>
      </c>
      <c r="L76" s="33" t="str">
        <f aca="false">IF(A76="","",I76-K76)</f>
        <v/>
      </c>
      <c r="M76" s="28"/>
      <c r="N76" s="4"/>
    </row>
    <row r="77" customFormat="false" ht="15" hidden="false" customHeight="false" outlineLevel="0" collapsed="false">
      <c r="A77" s="4"/>
      <c r="B77" s="4"/>
      <c r="C77" s="4"/>
      <c r="D77" s="4"/>
      <c r="E77" s="26"/>
      <c r="F77" s="26"/>
      <c r="G77" s="32"/>
      <c r="H77" s="28"/>
      <c r="I77" s="33" t="str">
        <f aca="false">IF(A77="","",SUMIFS(Lançamentos!$G$5:$G$1004,Lançamentos!$E$5:$E$1004,A77,Lançamentos!$C$5:$C$1004,"Entrada"))</f>
        <v/>
      </c>
      <c r="J77" s="33" t="str">
        <f aca="false">IF(A77="","",IF(OR(G77="Em produção",G77="Entregue"),MAX(H77-I77,0),0))</f>
        <v/>
      </c>
      <c r="K77" s="33" t="str">
        <f aca="false">IF(A77="","",SUMIFS(Lançamentos!$G$5:$G$1004,Lançamentos!$E$5:$E$1004,A77,Lançamentos!$C$5:$C$1004,"Saída"))</f>
        <v/>
      </c>
      <c r="L77" s="33" t="str">
        <f aca="false">IF(A77="","",I77-K77)</f>
        <v/>
      </c>
      <c r="M77" s="28"/>
      <c r="N77" s="4"/>
    </row>
    <row r="78" customFormat="false" ht="15" hidden="false" customHeight="false" outlineLevel="0" collapsed="false">
      <c r="A78" s="4"/>
      <c r="B78" s="4"/>
      <c r="C78" s="4"/>
      <c r="D78" s="4"/>
      <c r="E78" s="26"/>
      <c r="F78" s="26"/>
      <c r="G78" s="32"/>
      <c r="H78" s="28"/>
      <c r="I78" s="33" t="str">
        <f aca="false">IF(A78="","",SUMIFS(Lançamentos!$G$5:$G$1004,Lançamentos!$E$5:$E$1004,A78,Lançamentos!$C$5:$C$1004,"Entrada"))</f>
        <v/>
      </c>
      <c r="J78" s="33" t="str">
        <f aca="false">IF(A78="","",IF(OR(G78="Em produção",G78="Entregue"),MAX(H78-I78,0),0))</f>
        <v/>
      </c>
      <c r="K78" s="33" t="str">
        <f aca="false">IF(A78="","",SUMIFS(Lançamentos!$G$5:$G$1004,Lançamentos!$E$5:$E$1004,A78,Lançamentos!$C$5:$C$1004,"Saída"))</f>
        <v/>
      </c>
      <c r="L78" s="33" t="str">
        <f aca="false">IF(A78="","",I78-K78)</f>
        <v/>
      </c>
      <c r="M78" s="28"/>
      <c r="N78" s="4"/>
    </row>
    <row r="79" customFormat="false" ht="15" hidden="false" customHeight="false" outlineLevel="0" collapsed="false">
      <c r="A79" s="4"/>
      <c r="B79" s="4"/>
      <c r="C79" s="4"/>
      <c r="D79" s="4"/>
      <c r="E79" s="26"/>
      <c r="F79" s="26"/>
      <c r="G79" s="32"/>
      <c r="H79" s="28"/>
      <c r="I79" s="33" t="str">
        <f aca="false">IF(A79="","",SUMIFS(Lançamentos!$G$5:$G$1004,Lançamentos!$E$5:$E$1004,A79,Lançamentos!$C$5:$C$1004,"Entrada"))</f>
        <v/>
      </c>
      <c r="J79" s="33" t="str">
        <f aca="false">IF(A79="","",IF(OR(G79="Em produção",G79="Entregue"),MAX(H79-I79,0),0))</f>
        <v/>
      </c>
      <c r="K79" s="33" t="str">
        <f aca="false">IF(A79="","",SUMIFS(Lançamentos!$G$5:$G$1004,Lançamentos!$E$5:$E$1004,A79,Lançamentos!$C$5:$C$1004,"Saída"))</f>
        <v/>
      </c>
      <c r="L79" s="33" t="str">
        <f aca="false">IF(A79="","",I79-K79)</f>
        <v/>
      </c>
      <c r="M79" s="28"/>
      <c r="N79" s="4"/>
    </row>
    <row r="80" customFormat="false" ht="15" hidden="false" customHeight="false" outlineLevel="0" collapsed="false">
      <c r="A80" s="4"/>
      <c r="B80" s="4"/>
      <c r="C80" s="4"/>
      <c r="D80" s="4"/>
      <c r="E80" s="26"/>
      <c r="F80" s="26"/>
      <c r="G80" s="32"/>
      <c r="H80" s="28"/>
      <c r="I80" s="33" t="str">
        <f aca="false">IF(A80="","",SUMIFS(Lançamentos!$G$5:$G$1004,Lançamentos!$E$5:$E$1004,A80,Lançamentos!$C$5:$C$1004,"Entrada"))</f>
        <v/>
      </c>
      <c r="J80" s="33" t="str">
        <f aca="false">IF(A80="","",IF(OR(G80="Em produção",G80="Entregue"),MAX(H80-I80,0),0))</f>
        <v/>
      </c>
      <c r="K80" s="33" t="str">
        <f aca="false">IF(A80="","",SUMIFS(Lançamentos!$G$5:$G$1004,Lançamentos!$E$5:$E$1004,A80,Lançamentos!$C$5:$C$1004,"Saída"))</f>
        <v/>
      </c>
      <c r="L80" s="33" t="str">
        <f aca="false">IF(A80="","",I80-K80)</f>
        <v/>
      </c>
      <c r="M80" s="28"/>
      <c r="N80" s="4"/>
    </row>
    <row r="81" customFormat="false" ht="15" hidden="false" customHeight="false" outlineLevel="0" collapsed="false">
      <c r="A81" s="4"/>
      <c r="B81" s="4"/>
      <c r="C81" s="4"/>
      <c r="D81" s="4"/>
      <c r="E81" s="26"/>
      <c r="F81" s="26"/>
      <c r="G81" s="32"/>
      <c r="H81" s="28"/>
      <c r="I81" s="33" t="str">
        <f aca="false">IF(A81="","",SUMIFS(Lançamentos!$G$5:$G$1004,Lançamentos!$E$5:$E$1004,A81,Lançamentos!$C$5:$C$1004,"Entrada"))</f>
        <v/>
      </c>
      <c r="J81" s="33" t="str">
        <f aca="false">IF(A81="","",IF(OR(G81="Em produção",G81="Entregue"),MAX(H81-I81,0),0))</f>
        <v/>
      </c>
      <c r="K81" s="33" t="str">
        <f aca="false">IF(A81="","",SUMIFS(Lançamentos!$G$5:$G$1004,Lançamentos!$E$5:$E$1004,A81,Lançamentos!$C$5:$C$1004,"Saída"))</f>
        <v/>
      </c>
      <c r="L81" s="33" t="str">
        <f aca="false">IF(A81="","",I81-K81)</f>
        <v/>
      </c>
      <c r="M81" s="28"/>
      <c r="N81" s="4"/>
    </row>
    <row r="82" customFormat="false" ht="15" hidden="false" customHeight="false" outlineLevel="0" collapsed="false">
      <c r="A82" s="4"/>
      <c r="B82" s="4"/>
      <c r="C82" s="4"/>
      <c r="D82" s="4"/>
      <c r="E82" s="26"/>
      <c r="F82" s="26"/>
      <c r="G82" s="32"/>
      <c r="H82" s="28"/>
      <c r="I82" s="33" t="str">
        <f aca="false">IF(A82="","",SUMIFS(Lançamentos!$G$5:$G$1004,Lançamentos!$E$5:$E$1004,A82,Lançamentos!$C$5:$C$1004,"Entrada"))</f>
        <v/>
      </c>
      <c r="J82" s="33" t="str">
        <f aca="false">IF(A82="","",IF(OR(G82="Em produção",G82="Entregue"),MAX(H82-I82,0),0))</f>
        <v/>
      </c>
      <c r="K82" s="33" t="str">
        <f aca="false">IF(A82="","",SUMIFS(Lançamentos!$G$5:$G$1004,Lançamentos!$E$5:$E$1004,A82,Lançamentos!$C$5:$C$1004,"Saída"))</f>
        <v/>
      </c>
      <c r="L82" s="33" t="str">
        <f aca="false">IF(A82="","",I82-K82)</f>
        <v/>
      </c>
      <c r="M82" s="28"/>
      <c r="N82" s="4"/>
    </row>
    <row r="83" customFormat="false" ht="15" hidden="false" customHeight="false" outlineLevel="0" collapsed="false">
      <c r="A83" s="4"/>
      <c r="B83" s="4"/>
      <c r="C83" s="4"/>
      <c r="D83" s="4"/>
      <c r="E83" s="26"/>
      <c r="F83" s="26"/>
      <c r="G83" s="32"/>
      <c r="H83" s="28"/>
      <c r="I83" s="33" t="str">
        <f aca="false">IF(A83="","",SUMIFS(Lançamentos!$G$5:$G$1004,Lançamentos!$E$5:$E$1004,A83,Lançamentos!$C$5:$C$1004,"Entrada"))</f>
        <v/>
      </c>
      <c r="J83" s="33" t="str">
        <f aca="false">IF(A83="","",IF(OR(G83="Em produção",G83="Entregue"),MAX(H83-I83,0),0))</f>
        <v/>
      </c>
      <c r="K83" s="33" t="str">
        <f aca="false">IF(A83="","",SUMIFS(Lançamentos!$G$5:$G$1004,Lançamentos!$E$5:$E$1004,A83,Lançamentos!$C$5:$C$1004,"Saída"))</f>
        <v/>
      </c>
      <c r="L83" s="33" t="str">
        <f aca="false">IF(A83="","",I83-K83)</f>
        <v/>
      </c>
      <c r="M83" s="28"/>
      <c r="N83" s="4"/>
    </row>
    <row r="84" customFormat="false" ht="15" hidden="false" customHeight="false" outlineLevel="0" collapsed="false">
      <c r="A84" s="4"/>
      <c r="B84" s="4"/>
      <c r="C84" s="4"/>
      <c r="D84" s="4"/>
      <c r="E84" s="26"/>
      <c r="F84" s="26"/>
      <c r="G84" s="32"/>
      <c r="H84" s="28"/>
      <c r="I84" s="33" t="str">
        <f aca="false">IF(A84="","",SUMIFS(Lançamentos!$G$5:$G$1004,Lançamentos!$E$5:$E$1004,A84,Lançamentos!$C$5:$C$1004,"Entrada"))</f>
        <v/>
      </c>
      <c r="J84" s="33" t="str">
        <f aca="false">IF(A84="","",IF(OR(G84="Em produção",G84="Entregue"),MAX(H84-I84,0),0))</f>
        <v/>
      </c>
      <c r="K84" s="33" t="str">
        <f aca="false">IF(A84="","",SUMIFS(Lançamentos!$G$5:$G$1004,Lançamentos!$E$5:$E$1004,A84,Lançamentos!$C$5:$C$1004,"Saída"))</f>
        <v/>
      </c>
      <c r="L84" s="33" t="str">
        <f aca="false">IF(A84="","",I84-K84)</f>
        <v/>
      </c>
      <c r="M84" s="28"/>
      <c r="N84" s="4"/>
    </row>
    <row r="85" customFormat="false" ht="15" hidden="false" customHeight="false" outlineLevel="0" collapsed="false">
      <c r="A85" s="4"/>
      <c r="B85" s="4"/>
      <c r="C85" s="4"/>
      <c r="D85" s="4"/>
      <c r="E85" s="26"/>
      <c r="F85" s="26"/>
      <c r="G85" s="32"/>
      <c r="H85" s="28"/>
      <c r="I85" s="33" t="str">
        <f aca="false">IF(A85="","",SUMIFS(Lançamentos!$G$5:$G$1004,Lançamentos!$E$5:$E$1004,A85,Lançamentos!$C$5:$C$1004,"Entrada"))</f>
        <v/>
      </c>
      <c r="J85" s="33" t="str">
        <f aca="false">IF(A85="","",IF(OR(G85="Em produção",G85="Entregue"),MAX(H85-I85,0),0))</f>
        <v/>
      </c>
      <c r="K85" s="33" t="str">
        <f aca="false">IF(A85="","",SUMIFS(Lançamentos!$G$5:$G$1004,Lançamentos!$E$5:$E$1004,A85,Lançamentos!$C$5:$C$1004,"Saída"))</f>
        <v/>
      </c>
      <c r="L85" s="33" t="str">
        <f aca="false">IF(A85="","",I85-K85)</f>
        <v/>
      </c>
      <c r="M85" s="28"/>
      <c r="N85" s="4"/>
    </row>
    <row r="86" customFormat="false" ht="15" hidden="false" customHeight="false" outlineLevel="0" collapsed="false">
      <c r="A86" s="4"/>
      <c r="B86" s="4"/>
      <c r="C86" s="4"/>
      <c r="D86" s="4"/>
      <c r="E86" s="26"/>
      <c r="F86" s="26"/>
      <c r="G86" s="32"/>
      <c r="H86" s="28"/>
      <c r="I86" s="33" t="str">
        <f aca="false">IF(A86="","",SUMIFS(Lançamentos!$G$5:$G$1004,Lançamentos!$E$5:$E$1004,A86,Lançamentos!$C$5:$C$1004,"Entrada"))</f>
        <v/>
      </c>
      <c r="J86" s="33" t="str">
        <f aca="false">IF(A86="","",IF(OR(G86="Em produção",G86="Entregue"),MAX(H86-I86,0),0))</f>
        <v/>
      </c>
      <c r="K86" s="33" t="str">
        <f aca="false">IF(A86="","",SUMIFS(Lançamentos!$G$5:$G$1004,Lançamentos!$E$5:$E$1004,A86,Lançamentos!$C$5:$C$1004,"Saída"))</f>
        <v/>
      </c>
      <c r="L86" s="33" t="str">
        <f aca="false">IF(A86="","",I86-K86)</f>
        <v/>
      </c>
      <c r="M86" s="28"/>
      <c r="N86" s="4"/>
    </row>
    <row r="87" customFormat="false" ht="15" hidden="false" customHeight="false" outlineLevel="0" collapsed="false">
      <c r="A87" s="4"/>
      <c r="B87" s="4"/>
      <c r="C87" s="4"/>
      <c r="D87" s="4"/>
      <c r="E87" s="26"/>
      <c r="F87" s="26"/>
      <c r="G87" s="32"/>
      <c r="H87" s="28"/>
      <c r="I87" s="33" t="str">
        <f aca="false">IF(A87="","",SUMIFS(Lançamentos!$G$5:$G$1004,Lançamentos!$E$5:$E$1004,A87,Lançamentos!$C$5:$C$1004,"Entrada"))</f>
        <v/>
      </c>
      <c r="J87" s="33" t="str">
        <f aca="false">IF(A87="","",IF(OR(G87="Em produção",G87="Entregue"),MAX(H87-I87,0),0))</f>
        <v/>
      </c>
      <c r="K87" s="33" t="str">
        <f aca="false">IF(A87="","",SUMIFS(Lançamentos!$G$5:$G$1004,Lançamentos!$E$5:$E$1004,A87,Lançamentos!$C$5:$C$1004,"Saída"))</f>
        <v/>
      </c>
      <c r="L87" s="33" t="str">
        <f aca="false">IF(A87="","",I87-K87)</f>
        <v/>
      </c>
      <c r="M87" s="28"/>
      <c r="N87" s="4"/>
    </row>
    <row r="88" customFormat="false" ht="15" hidden="false" customHeight="false" outlineLevel="0" collapsed="false">
      <c r="A88" s="4"/>
      <c r="B88" s="4"/>
      <c r="C88" s="4"/>
      <c r="D88" s="4"/>
      <c r="E88" s="26"/>
      <c r="F88" s="26"/>
      <c r="G88" s="32"/>
      <c r="H88" s="28"/>
      <c r="I88" s="33" t="str">
        <f aca="false">IF(A88="","",SUMIFS(Lançamentos!$G$5:$G$1004,Lançamentos!$E$5:$E$1004,A88,Lançamentos!$C$5:$C$1004,"Entrada"))</f>
        <v/>
      </c>
      <c r="J88" s="33" t="str">
        <f aca="false">IF(A88="","",IF(OR(G88="Em produção",G88="Entregue"),MAX(H88-I88,0),0))</f>
        <v/>
      </c>
      <c r="K88" s="33" t="str">
        <f aca="false">IF(A88="","",SUMIFS(Lançamentos!$G$5:$G$1004,Lançamentos!$E$5:$E$1004,A88,Lançamentos!$C$5:$C$1004,"Saída"))</f>
        <v/>
      </c>
      <c r="L88" s="33" t="str">
        <f aca="false">IF(A88="","",I88-K88)</f>
        <v/>
      </c>
      <c r="M88" s="28"/>
      <c r="N88" s="4"/>
    </row>
    <row r="89" customFormat="false" ht="15" hidden="false" customHeight="false" outlineLevel="0" collapsed="false">
      <c r="A89" s="4"/>
      <c r="B89" s="4"/>
      <c r="C89" s="4"/>
      <c r="D89" s="4"/>
      <c r="E89" s="26"/>
      <c r="F89" s="26"/>
      <c r="G89" s="32"/>
      <c r="H89" s="28"/>
      <c r="I89" s="33" t="str">
        <f aca="false">IF(A89="","",SUMIFS(Lançamentos!$G$5:$G$1004,Lançamentos!$E$5:$E$1004,A89,Lançamentos!$C$5:$C$1004,"Entrada"))</f>
        <v/>
      </c>
      <c r="J89" s="33" t="str">
        <f aca="false">IF(A89="","",IF(OR(G89="Em produção",G89="Entregue"),MAX(H89-I89,0),0))</f>
        <v/>
      </c>
      <c r="K89" s="33" t="str">
        <f aca="false">IF(A89="","",SUMIFS(Lançamentos!$G$5:$G$1004,Lançamentos!$E$5:$E$1004,A89,Lançamentos!$C$5:$C$1004,"Saída"))</f>
        <v/>
      </c>
      <c r="L89" s="33" t="str">
        <f aca="false">IF(A89="","",I89-K89)</f>
        <v/>
      </c>
      <c r="M89" s="28"/>
      <c r="N89" s="4"/>
    </row>
    <row r="90" customFormat="false" ht="15" hidden="false" customHeight="false" outlineLevel="0" collapsed="false">
      <c r="A90" s="4"/>
      <c r="B90" s="4"/>
      <c r="C90" s="4"/>
      <c r="D90" s="4"/>
      <c r="E90" s="26"/>
      <c r="F90" s="26"/>
      <c r="G90" s="32"/>
      <c r="H90" s="28"/>
      <c r="I90" s="33" t="str">
        <f aca="false">IF(A90="","",SUMIFS(Lançamentos!$G$5:$G$1004,Lançamentos!$E$5:$E$1004,A90,Lançamentos!$C$5:$C$1004,"Entrada"))</f>
        <v/>
      </c>
      <c r="J90" s="33" t="str">
        <f aca="false">IF(A90="","",IF(OR(G90="Em produção",G90="Entregue"),MAX(H90-I90,0),0))</f>
        <v/>
      </c>
      <c r="K90" s="33" t="str">
        <f aca="false">IF(A90="","",SUMIFS(Lançamentos!$G$5:$G$1004,Lançamentos!$E$5:$E$1004,A90,Lançamentos!$C$5:$C$1004,"Saída"))</f>
        <v/>
      </c>
      <c r="L90" s="33" t="str">
        <f aca="false">IF(A90="","",I90-K90)</f>
        <v/>
      </c>
      <c r="M90" s="28"/>
      <c r="N90" s="4"/>
    </row>
    <row r="91" customFormat="false" ht="15" hidden="false" customHeight="false" outlineLevel="0" collapsed="false">
      <c r="A91" s="4"/>
      <c r="B91" s="4"/>
      <c r="C91" s="4"/>
      <c r="D91" s="4"/>
      <c r="E91" s="26"/>
      <c r="F91" s="26"/>
      <c r="G91" s="32"/>
      <c r="H91" s="28"/>
      <c r="I91" s="33" t="str">
        <f aca="false">IF(A91="","",SUMIFS(Lançamentos!$G$5:$G$1004,Lançamentos!$E$5:$E$1004,A91,Lançamentos!$C$5:$C$1004,"Entrada"))</f>
        <v/>
      </c>
      <c r="J91" s="33" t="str">
        <f aca="false">IF(A91="","",IF(OR(G91="Em produção",G91="Entregue"),MAX(H91-I91,0),0))</f>
        <v/>
      </c>
      <c r="K91" s="33" t="str">
        <f aca="false">IF(A91="","",SUMIFS(Lançamentos!$G$5:$G$1004,Lançamentos!$E$5:$E$1004,A91,Lançamentos!$C$5:$C$1004,"Saída"))</f>
        <v/>
      </c>
      <c r="L91" s="33" t="str">
        <f aca="false">IF(A91="","",I91-K91)</f>
        <v/>
      </c>
      <c r="M91" s="28"/>
      <c r="N91" s="4"/>
    </row>
    <row r="92" customFormat="false" ht="15" hidden="false" customHeight="false" outlineLevel="0" collapsed="false">
      <c r="A92" s="4"/>
      <c r="B92" s="4"/>
      <c r="C92" s="4"/>
      <c r="D92" s="4"/>
      <c r="E92" s="26"/>
      <c r="F92" s="26"/>
      <c r="G92" s="32"/>
      <c r="H92" s="28"/>
      <c r="I92" s="33" t="str">
        <f aca="false">IF(A92="","",SUMIFS(Lançamentos!$G$5:$G$1004,Lançamentos!$E$5:$E$1004,A92,Lançamentos!$C$5:$C$1004,"Entrada"))</f>
        <v/>
      </c>
      <c r="J92" s="33" t="str">
        <f aca="false">IF(A92="","",IF(OR(G92="Em produção",G92="Entregue"),MAX(H92-I92,0),0))</f>
        <v/>
      </c>
      <c r="K92" s="33" t="str">
        <f aca="false">IF(A92="","",SUMIFS(Lançamentos!$G$5:$G$1004,Lançamentos!$E$5:$E$1004,A92,Lançamentos!$C$5:$C$1004,"Saída"))</f>
        <v/>
      </c>
      <c r="L92" s="33" t="str">
        <f aca="false">IF(A92="","",I92-K92)</f>
        <v/>
      </c>
      <c r="M92" s="28"/>
      <c r="N92" s="4"/>
    </row>
    <row r="93" customFormat="false" ht="15" hidden="false" customHeight="false" outlineLevel="0" collapsed="false">
      <c r="A93" s="4"/>
      <c r="B93" s="4"/>
      <c r="C93" s="4"/>
      <c r="D93" s="4"/>
      <c r="E93" s="26"/>
      <c r="F93" s="26"/>
      <c r="G93" s="32"/>
      <c r="H93" s="28"/>
      <c r="I93" s="33" t="str">
        <f aca="false">IF(A93="","",SUMIFS(Lançamentos!$G$5:$G$1004,Lançamentos!$E$5:$E$1004,A93,Lançamentos!$C$5:$C$1004,"Entrada"))</f>
        <v/>
      </c>
      <c r="J93" s="33" t="str">
        <f aca="false">IF(A93="","",IF(OR(G93="Em produção",G93="Entregue"),MAX(H93-I93,0),0))</f>
        <v/>
      </c>
      <c r="K93" s="33" t="str">
        <f aca="false">IF(A93="","",SUMIFS(Lançamentos!$G$5:$G$1004,Lançamentos!$E$5:$E$1004,A93,Lançamentos!$C$5:$C$1004,"Saída"))</f>
        <v/>
      </c>
      <c r="L93" s="33" t="str">
        <f aca="false">IF(A93="","",I93-K93)</f>
        <v/>
      </c>
      <c r="M93" s="28"/>
      <c r="N93" s="4"/>
    </row>
    <row r="94" customFormat="false" ht="15" hidden="false" customHeight="false" outlineLevel="0" collapsed="false">
      <c r="A94" s="4"/>
      <c r="B94" s="4"/>
      <c r="C94" s="4"/>
      <c r="D94" s="4"/>
      <c r="E94" s="26"/>
      <c r="F94" s="26"/>
      <c r="G94" s="32"/>
      <c r="H94" s="28"/>
      <c r="I94" s="33" t="str">
        <f aca="false">IF(A94="","",SUMIFS(Lançamentos!$G$5:$G$1004,Lançamentos!$E$5:$E$1004,A94,Lançamentos!$C$5:$C$1004,"Entrada"))</f>
        <v/>
      </c>
      <c r="J94" s="33" t="str">
        <f aca="false">IF(A94="","",IF(OR(G94="Em produção",G94="Entregue"),MAX(H94-I94,0),0))</f>
        <v/>
      </c>
      <c r="K94" s="33" t="str">
        <f aca="false">IF(A94="","",SUMIFS(Lançamentos!$G$5:$G$1004,Lançamentos!$E$5:$E$1004,A94,Lançamentos!$C$5:$C$1004,"Saída"))</f>
        <v/>
      </c>
      <c r="L94" s="33" t="str">
        <f aca="false">IF(A94="","",I94-K94)</f>
        <v/>
      </c>
      <c r="M94" s="28"/>
      <c r="N94" s="4"/>
    </row>
    <row r="95" customFormat="false" ht="15" hidden="false" customHeight="false" outlineLevel="0" collapsed="false">
      <c r="A95" s="4"/>
      <c r="B95" s="4"/>
      <c r="C95" s="4"/>
      <c r="D95" s="4"/>
      <c r="E95" s="26"/>
      <c r="F95" s="26"/>
      <c r="G95" s="32"/>
      <c r="H95" s="28"/>
      <c r="I95" s="33" t="str">
        <f aca="false">IF(A95="","",SUMIFS(Lançamentos!$G$5:$G$1004,Lançamentos!$E$5:$E$1004,A95,Lançamentos!$C$5:$C$1004,"Entrada"))</f>
        <v/>
      </c>
      <c r="J95" s="33" t="str">
        <f aca="false">IF(A95="","",IF(OR(G95="Em produção",G95="Entregue"),MAX(H95-I95,0),0))</f>
        <v/>
      </c>
      <c r="K95" s="33" t="str">
        <f aca="false">IF(A95="","",SUMIFS(Lançamentos!$G$5:$G$1004,Lançamentos!$E$5:$E$1004,A95,Lançamentos!$C$5:$C$1004,"Saída"))</f>
        <v/>
      </c>
      <c r="L95" s="33" t="str">
        <f aca="false">IF(A95="","",I95-K95)</f>
        <v/>
      </c>
      <c r="M95" s="28"/>
      <c r="N95" s="4"/>
    </row>
    <row r="96" customFormat="false" ht="15" hidden="false" customHeight="false" outlineLevel="0" collapsed="false">
      <c r="A96" s="4"/>
      <c r="B96" s="4"/>
      <c r="C96" s="4"/>
      <c r="D96" s="4"/>
      <c r="E96" s="26"/>
      <c r="F96" s="26"/>
      <c r="G96" s="32"/>
      <c r="H96" s="28"/>
      <c r="I96" s="33" t="str">
        <f aca="false">IF(A96="","",SUMIFS(Lançamentos!$G$5:$G$1004,Lançamentos!$E$5:$E$1004,A96,Lançamentos!$C$5:$C$1004,"Entrada"))</f>
        <v/>
      </c>
      <c r="J96" s="33" t="str">
        <f aca="false">IF(A96="","",IF(OR(G96="Em produção",G96="Entregue"),MAX(H96-I96,0),0))</f>
        <v/>
      </c>
      <c r="K96" s="33" t="str">
        <f aca="false">IF(A96="","",SUMIFS(Lançamentos!$G$5:$G$1004,Lançamentos!$E$5:$E$1004,A96,Lançamentos!$C$5:$C$1004,"Saída"))</f>
        <v/>
      </c>
      <c r="L96" s="33" t="str">
        <f aca="false">IF(A96="","",I96-K96)</f>
        <v/>
      </c>
      <c r="M96" s="28"/>
      <c r="N96" s="4"/>
    </row>
    <row r="97" customFormat="false" ht="15" hidden="false" customHeight="false" outlineLevel="0" collapsed="false">
      <c r="A97" s="4"/>
      <c r="B97" s="4"/>
      <c r="C97" s="4"/>
      <c r="D97" s="4"/>
      <c r="E97" s="26"/>
      <c r="F97" s="26"/>
      <c r="G97" s="32"/>
      <c r="H97" s="28"/>
      <c r="I97" s="33" t="str">
        <f aca="false">IF(A97="","",SUMIFS(Lançamentos!$G$5:$G$1004,Lançamentos!$E$5:$E$1004,A97,Lançamentos!$C$5:$C$1004,"Entrada"))</f>
        <v/>
      </c>
      <c r="J97" s="33" t="str">
        <f aca="false">IF(A97="","",IF(OR(G97="Em produção",G97="Entregue"),MAX(H97-I97,0),0))</f>
        <v/>
      </c>
      <c r="K97" s="33" t="str">
        <f aca="false">IF(A97="","",SUMIFS(Lançamentos!$G$5:$G$1004,Lançamentos!$E$5:$E$1004,A97,Lançamentos!$C$5:$C$1004,"Saída"))</f>
        <v/>
      </c>
      <c r="L97" s="33" t="str">
        <f aca="false">IF(A97="","",I97-K97)</f>
        <v/>
      </c>
      <c r="M97" s="28"/>
      <c r="N97" s="4"/>
    </row>
    <row r="98" customFormat="false" ht="15" hidden="false" customHeight="false" outlineLevel="0" collapsed="false">
      <c r="A98" s="4"/>
      <c r="B98" s="4"/>
      <c r="C98" s="4"/>
      <c r="D98" s="4"/>
      <c r="E98" s="26"/>
      <c r="F98" s="26"/>
      <c r="G98" s="32"/>
      <c r="H98" s="28"/>
      <c r="I98" s="33" t="str">
        <f aca="false">IF(A98="","",SUMIFS(Lançamentos!$G$5:$G$1004,Lançamentos!$E$5:$E$1004,A98,Lançamentos!$C$5:$C$1004,"Entrada"))</f>
        <v/>
      </c>
      <c r="J98" s="33" t="str">
        <f aca="false">IF(A98="","",IF(OR(G98="Em produção",G98="Entregue"),MAX(H98-I98,0),0))</f>
        <v/>
      </c>
      <c r="K98" s="33" t="str">
        <f aca="false">IF(A98="","",SUMIFS(Lançamentos!$G$5:$G$1004,Lançamentos!$E$5:$E$1004,A98,Lançamentos!$C$5:$C$1004,"Saída"))</f>
        <v/>
      </c>
      <c r="L98" s="33" t="str">
        <f aca="false">IF(A98="","",I98-K98)</f>
        <v/>
      </c>
      <c r="M98" s="28"/>
      <c r="N98" s="4"/>
    </row>
    <row r="99" customFormat="false" ht="15" hidden="false" customHeight="false" outlineLevel="0" collapsed="false">
      <c r="A99" s="4"/>
      <c r="B99" s="4"/>
      <c r="C99" s="4"/>
      <c r="D99" s="4"/>
      <c r="E99" s="26"/>
      <c r="F99" s="26"/>
      <c r="G99" s="32"/>
      <c r="H99" s="28"/>
      <c r="I99" s="33" t="str">
        <f aca="false">IF(A99="","",SUMIFS(Lançamentos!$G$5:$G$1004,Lançamentos!$E$5:$E$1004,A99,Lançamentos!$C$5:$C$1004,"Entrada"))</f>
        <v/>
      </c>
      <c r="J99" s="33" t="str">
        <f aca="false">IF(A99="","",IF(OR(G99="Em produção",G99="Entregue"),MAX(H99-I99,0),0))</f>
        <v/>
      </c>
      <c r="K99" s="33" t="str">
        <f aca="false">IF(A99="","",SUMIFS(Lançamentos!$G$5:$G$1004,Lançamentos!$E$5:$E$1004,A99,Lançamentos!$C$5:$C$1004,"Saída"))</f>
        <v/>
      </c>
      <c r="L99" s="33" t="str">
        <f aca="false">IF(A99="","",I99-K99)</f>
        <v/>
      </c>
      <c r="M99" s="28"/>
      <c r="N99" s="4"/>
    </row>
    <row r="100" customFormat="false" ht="15" hidden="false" customHeight="false" outlineLevel="0" collapsed="false">
      <c r="A100" s="4"/>
      <c r="B100" s="4"/>
      <c r="C100" s="4"/>
      <c r="D100" s="4"/>
      <c r="E100" s="26"/>
      <c r="F100" s="26"/>
      <c r="G100" s="32"/>
      <c r="H100" s="28"/>
      <c r="I100" s="33" t="str">
        <f aca="false">IF(A100="","",SUMIFS(Lançamentos!$G$5:$G$1004,Lançamentos!$E$5:$E$1004,A100,Lançamentos!$C$5:$C$1004,"Entrada"))</f>
        <v/>
      </c>
      <c r="J100" s="33" t="str">
        <f aca="false">IF(A100="","",IF(OR(G100="Em produção",G100="Entregue"),MAX(H100-I100,0),0))</f>
        <v/>
      </c>
      <c r="K100" s="33" t="str">
        <f aca="false">IF(A100="","",SUMIFS(Lançamentos!$G$5:$G$1004,Lançamentos!$E$5:$E$1004,A100,Lançamentos!$C$5:$C$1004,"Saída"))</f>
        <v/>
      </c>
      <c r="L100" s="33" t="str">
        <f aca="false">IF(A100="","",I100-K100)</f>
        <v/>
      </c>
      <c r="M100" s="28"/>
      <c r="N100" s="4"/>
    </row>
    <row r="101" customFormat="false" ht="15" hidden="false" customHeight="false" outlineLevel="0" collapsed="false">
      <c r="A101" s="4"/>
      <c r="B101" s="4"/>
      <c r="C101" s="4"/>
      <c r="D101" s="4"/>
      <c r="E101" s="26"/>
      <c r="F101" s="26"/>
      <c r="G101" s="32"/>
      <c r="H101" s="28"/>
      <c r="I101" s="33" t="str">
        <f aca="false">IF(A101="","",SUMIFS(Lançamentos!$G$5:$G$1004,Lançamentos!$E$5:$E$1004,A101,Lançamentos!$C$5:$C$1004,"Entrada"))</f>
        <v/>
      </c>
      <c r="J101" s="33" t="str">
        <f aca="false">IF(A101="","",IF(OR(G101="Em produção",G101="Entregue"),MAX(H101-I101,0),0))</f>
        <v/>
      </c>
      <c r="K101" s="33" t="str">
        <f aca="false">IF(A101="","",SUMIFS(Lançamentos!$G$5:$G$1004,Lançamentos!$E$5:$E$1004,A101,Lançamentos!$C$5:$C$1004,"Saída"))</f>
        <v/>
      </c>
      <c r="L101" s="33" t="str">
        <f aca="false">IF(A101="","",I101-K101)</f>
        <v/>
      </c>
      <c r="M101" s="28"/>
      <c r="N101" s="4"/>
    </row>
    <row r="102" customFormat="false" ht="15" hidden="false" customHeight="false" outlineLevel="0" collapsed="false">
      <c r="A102" s="4"/>
      <c r="B102" s="4"/>
      <c r="C102" s="4"/>
      <c r="D102" s="4"/>
      <c r="E102" s="26"/>
      <c r="F102" s="26"/>
      <c r="G102" s="32"/>
      <c r="H102" s="28"/>
      <c r="I102" s="33" t="str">
        <f aca="false">IF(A102="","",SUMIFS(Lançamentos!$G$5:$G$1004,Lançamentos!$E$5:$E$1004,A102,Lançamentos!$C$5:$C$1004,"Entrada"))</f>
        <v/>
      </c>
      <c r="J102" s="33" t="str">
        <f aca="false">IF(A102="","",IF(OR(G102="Em produção",G102="Entregue"),MAX(H102-I102,0),0))</f>
        <v/>
      </c>
      <c r="K102" s="33" t="str">
        <f aca="false">IF(A102="","",SUMIFS(Lançamentos!$G$5:$G$1004,Lançamentos!$E$5:$E$1004,A102,Lançamentos!$C$5:$C$1004,"Saída"))</f>
        <v/>
      </c>
      <c r="L102" s="33" t="str">
        <f aca="false">IF(A102="","",I102-K102)</f>
        <v/>
      </c>
      <c r="M102" s="28"/>
      <c r="N102" s="4"/>
    </row>
    <row r="103" customFormat="false" ht="15" hidden="false" customHeight="false" outlineLevel="0" collapsed="false">
      <c r="A103" s="4"/>
      <c r="B103" s="4"/>
      <c r="C103" s="4"/>
      <c r="D103" s="4"/>
      <c r="E103" s="26"/>
      <c r="F103" s="26"/>
      <c r="G103" s="32"/>
      <c r="H103" s="28"/>
      <c r="I103" s="33" t="str">
        <f aca="false">IF(A103="","",SUMIFS(Lançamentos!$G$5:$G$1004,Lançamentos!$E$5:$E$1004,A103,Lançamentos!$C$5:$C$1004,"Entrada"))</f>
        <v/>
      </c>
      <c r="J103" s="33" t="str">
        <f aca="false">IF(A103="","",IF(OR(G103="Em produção",G103="Entregue"),MAX(H103-I103,0),0))</f>
        <v/>
      </c>
      <c r="K103" s="33" t="str">
        <f aca="false">IF(A103="","",SUMIFS(Lançamentos!$G$5:$G$1004,Lançamentos!$E$5:$E$1004,A103,Lançamentos!$C$5:$C$1004,"Saída"))</f>
        <v/>
      </c>
      <c r="L103" s="33" t="str">
        <f aca="false">IF(A103="","",I103-K103)</f>
        <v/>
      </c>
      <c r="M103" s="28"/>
      <c r="N103" s="4"/>
    </row>
    <row r="104" customFormat="false" ht="15" hidden="false" customHeight="false" outlineLevel="0" collapsed="false">
      <c r="A104" s="4"/>
      <c r="B104" s="4"/>
      <c r="C104" s="4"/>
      <c r="D104" s="4"/>
      <c r="E104" s="26"/>
      <c r="F104" s="26"/>
      <c r="G104" s="32"/>
      <c r="H104" s="28"/>
      <c r="I104" s="33" t="str">
        <f aca="false">IF(A104="","",SUMIFS(Lançamentos!$G$5:$G$1004,Lançamentos!$E$5:$E$1004,A104,Lançamentos!$C$5:$C$1004,"Entrada"))</f>
        <v/>
      </c>
      <c r="J104" s="33" t="str">
        <f aca="false">IF(A104="","",IF(OR(G104="Em produção",G104="Entregue"),MAX(H104-I104,0),0))</f>
        <v/>
      </c>
      <c r="K104" s="33" t="str">
        <f aca="false">IF(A104="","",SUMIFS(Lançamentos!$G$5:$G$1004,Lançamentos!$E$5:$E$1004,A104,Lançamentos!$C$5:$C$1004,"Saída"))</f>
        <v/>
      </c>
      <c r="L104" s="33" t="str">
        <f aca="false">IF(A104="","",I104-K104)</f>
        <v/>
      </c>
      <c r="M104" s="28"/>
      <c r="N104" s="4"/>
    </row>
    <row r="105" customFormat="false" ht="15" hidden="false" customHeight="false" outlineLevel="0" collapsed="false">
      <c r="A105" s="4"/>
      <c r="B105" s="4"/>
      <c r="C105" s="4"/>
      <c r="D105" s="4"/>
      <c r="E105" s="26"/>
      <c r="F105" s="26"/>
      <c r="G105" s="32"/>
      <c r="H105" s="28"/>
      <c r="I105" s="33" t="str">
        <f aca="false">IF(A105="","",SUMIFS(Lançamentos!$G$5:$G$1004,Lançamentos!$E$5:$E$1004,A105,Lançamentos!$C$5:$C$1004,"Entrada"))</f>
        <v/>
      </c>
      <c r="J105" s="33" t="str">
        <f aca="false">IF(A105="","",IF(OR(G105="Em produção",G105="Entregue"),MAX(H105-I105,0),0))</f>
        <v/>
      </c>
      <c r="K105" s="33" t="str">
        <f aca="false">IF(A105="","",SUMIFS(Lançamentos!$G$5:$G$1004,Lançamentos!$E$5:$E$1004,A105,Lançamentos!$C$5:$C$1004,"Saída"))</f>
        <v/>
      </c>
      <c r="L105" s="33" t="str">
        <f aca="false">IF(A105="","",I105-K105)</f>
        <v/>
      </c>
      <c r="M105" s="28"/>
      <c r="N105" s="4"/>
    </row>
    <row r="106" customFormat="false" ht="15" hidden="false" customHeight="false" outlineLevel="0" collapsed="false">
      <c r="A106" s="4"/>
      <c r="B106" s="4"/>
      <c r="C106" s="4"/>
      <c r="D106" s="4"/>
      <c r="E106" s="26"/>
      <c r="F106" s="26"/>
      <c r="G106" s="32"/>
      <c r="H106" s="28"/>
      <c r="I106" s="33" t="str">
        <f aca="false">IF(A106="","",SUMIFS(Lançamentos!$G$5:$G$1004,Lançamentos!$E$5:$E$1004,A106,Lançamentos!$C$5:$C$1004,"Entrada"))</f>
        <v/>
      </c>
      <c r="J106" s="33" t="str">
        <f aca="false">IF(A106="","",IF(OR(G106="Em produção",G106="Entregue"),MAX(H106-I106,0),0))</f>
        <v/>
      </c>
      <c r="K106" s="33" t="str">
        <f aca="false">IF(A106="","",SUMIFS(Lançamentos!$G$5:$G$1004,Lançamentos!$E$5:$E$1004,A106,Lançamentos!$C$5:$C$1004,"Saída"))</f>
        <v/>
      </c>
      <c r="L106" s="33" t="str">
        <f aca="false">IF(A106="","",I106-K106)</f>
        <v/>
      </c>
      <c r="M106" s="28"/>
      <c r="N106" s="4"/>
    </row>
    <row r="107" customFormat="false" ht="15" hidden="false" customHeight="false" outlineLevel="0" collapsed="false">
      <c r="A107" s="4"/>
      <c r="B107" s="4"/>
      <c r="C107" s="4"/>
      <c r="D107" s="4"/>
      <c r="E107" s="26"/>
      <c r="F107" s="26"/>
      <c r="G107" s="32"/>
      <c r="H107" s="28"/>
      <c r="I107" s="33" t="str">
        <f aca="false">IF(A107="","",SUMIFS(Lançamentos!$G$5:$G$1004,Lançamentos!$E$5:$E$1004,A107,Lançamentos!$C$5:$C$1004,"Entrada"))</f>
        <v/>
      </c>
      <c r="J107" s="33" t="str">
        <f aca="false">IF(A107="","",IF(OR(G107="Em produção",G107="Entregue"),MAX(H107-I107,0),0))</f>
        <v/>
      </c>
      <c r="K107" s="33" t="str">
        <f aca="false">IF(A107="","",SUMIFS(Lançamentos!$G$5:$G$1004,Lançamentos!$E$5:$E$1004,A107,Lançamentos!$C$5:$C$1004,"Saída"))</f>
        <v/>
      </c>
      <c r="L107" s="33" t="str">
        <f aca="false">IF(A107="","",I107-K107)</f>
        <v/>
      </c>
      <c r="M107" s="28"/>
      <c r="N107" s="4"/>
    </row>
    <row r="108" customFormat="false" ht="15" hidden="false" customHeight="false" outlineLevel="0" collapsed="false">
      <c r="A108" s="4"/>
      <c r="B108" s="4"/>
      <c r="C108" s="4"/>
      <c r="D108" s="4"/>
      <c r="E108" s="26"/>
      <c r="F108" s="26"/>
      <c r="G108" s="32"/>
      <c r="H108" s="28"/>
      <c r="I108" s="33" t="str">
        <f aca="false">IF(A108="","",SUMIFS(Lançamentos!$G$5:$G$1004,Lançamentos!$E$5:$E$1004,A108,Lançamentos!$C$5:$C$1004,"Entrada"))</f>
        <v/>
      </c>
      <c r="J108" s="33" t="str">
        <f aca="false">IF(A108="","",IF(OR(G108="Em produção",G108="Entregue"),MAX(H108-I108,0),0))</f>
        <v/>
      </c>
      <c r="K108" s="33" t="str">
        <f aca="false">IF(A108="","",SUMIFS(Lançamentos!$G$5:$G$1004,Lançamentos!$E$5:$E$1004,A108,Lançamentos!$C$5:$C$1004,"Saída"))</f>
        <v/>
      </c>
      <c r="L108" s="33" t="str">
        <f aca="false">IF(A108="","",I108-K108)</f>
        <v/>
      </c>
      <c r="M108" s="28"/>
      <c r="N108" s="4"/>
    </row>
    <row r="109" customFormat="false" ht="15" hidden="false" customHeight="false" outlineLevel="0" collapsed="false">
      <c r="A109" s="4"/>
      <c r="B109" s="4"/>
      <c r="C109" s="4"/>
      <c r="D109" s="4"/>
      <c r="E109" s="26"/>
      <c r="F109" s="26"/>
      <c r="G109" s="32"/>
      <c r="H109" s="28"/>
      <c r="I109" s="33" t="str">
        <f aca="false">IF(A109="","",SUMIFS(Lançamentos!$G$5:$G$1004,Lançamentos!$E$5:$E$1004,A109,Lançamentos!$C$5:$C$1004,"Entrada"))</f>
        <v/>
      </c>
      <c r="J109" s="33" t="str">
        <f aca="false">IF(A109="","",IF(OR(G109="Em produção",G109="Entregue"),MAX(H109-I109,0),0))</f>
        <v/>
      </c>
      <c r="K109" s="33" t="str">
        <f aca="false">IF(A109="","",SUMIFS(Lançamentos!$G$5:$G$1004,Lançamentos!$E$5:$E$1004,A109,Lançamentos!$C$5:$C$1004,"Saída"))</f>
        <v/>
      </c>
      <c r="L109" s="33" t="str">
        <f aca="false">IF(A109="","",I109-K109)</f>
        <v/>
      </c>
      <c r="M109" s="28"/>
      <c r="N109" s="4"/>
    </row>
    <row r="110" customFormat="false" ht="15" hidden="false" customHeight="false" outlineLevel="0" collapsed="false">
      <c r="A110" s="4"/>
      <c r="B110" s="4"/>
      <c r="C110" s="4"/>
      <c r="D110" s="4"/>
      <c r="E110" s="26"/>
      <c r="F110" s="26"/>
      <c r="G110" s="32"/>
      <c r="H110" s="28"/>
      <c r="I110" s="33" t="str">
        <f aca="false">IF(A110="","",SUMIFS(Lançamentos!$G$5:$G$1004,Lançamentos!$E$5:$E$1004,A110,Lançamentos!$C$5:$C$1004,"Entrada"))</f>
        <v/>
      </c>
      <c r="J110" s="33" t="str">
        <f aca="false">IF(A110="","",IF(OR(G110="Em produção",G110="Entregue"),MAX(H110-I110,0),0))</f>
        <v/>
      </c>
      <c r="K110" s="33" t="str">
        <f aca="false">IF(A110="","",SUMIFS(Lançamentos!$G$5:$G$1004,Lançamentos!$E$5:$E$1004,A110,Lançamentos!$C$5:$C$1004,"Saída"))</f>
        <v/>
      </c>
      <c r="L110" s="33" t="str">
        <f aca="false">IF(A110="","",I110-K110)</f>
        <v/>
      </c>
      <c r="M110" s="28"/>
      <c r="N110" s="4"/>
    </row>
    <row r="111" customFormat="false" ht="15" hidden="false" customHeight="false" outlineLevel="0" collapsed="false">
      <c r="A111" s="4"/>
      <c r="B111" s="4"/>
      <c r="C111" s="4"/>
      <c r="D111" s="4"/>
      <c r="E111" s="26"/>
      <c r="F111" s="26"/>
      <c r="G111" s="32"/>
      <c r="H111" s="28"/>
      <c r="I111" s="33" t="str">
        <f aca="false">IF(A111="","",SUMIFS(Lançamentos!$G$5:$G$1004,Lançamentos!$E$5:$E$1004,A111,Lançamentos!$C$5:$C$1004,"Entrada"))</f>
        <v/>
      </c>
      <c r="J111" s="33" t="str">
        <f aca="false">IF(A111="","",IF(OR(G111="Em produção",G111="Entregue"),MAX(H111-I111,0),0))</f>
        <v/>
      </c>
      <c r="K111" s="33" t="str">
        <f aca="false">IF(A111="","",SUMIFS(Lançamentos!$G$5:$G$1004,Lançamentos!$E$5:$E$1004,A111,Lançamentos!$C$5:$C$1004,"Saída"))</f>
        <v/>
      </c>
      <c r="L111" s="33" t="str">
        <f aca="false">IF(A111="","",I111-K111)</f>
        <v/>
      </c>
      <c r="M111" s="28"/>
      <c r="N111" s="4"/>
    </row>
    <row r="112" customFormat="false" ht="15" hidden="false" customHeight="false" outlineLevel="0" collapsed="false">
      <c r="A112" s="4"/>
      <c r="B112" s="4"/>
      <c r="C112" s="4"/>
      <c r="D112" s="4"/>
      <c r="E112" s="26"/>
      <c r="F112" s="26"/>
      <c r="G112" s="32"/>
      <c r="H112" s="28"/>
      <c r="I112" s="33" t="str">
        <f aca="false">IF(A112="","",SUMIFS(Lançamentos!$G$5:$G$1004,Lançamentos!$E$5:$E$1004,A112,Lançamentos!$C$5:$C$1004,"Entrada"))</f>
        <v/>
      </c>
      <c r="J112" s="33" t="str">
        <f aca="false">IF(A112="","",IF(OR(G112="Em produção",G112="Entregue"),MAX(H112-I112,0),0))</f>
        <v/>
      </c>
      <c r="K112" s="33" t="str">
        <f aca="false">IF(A112="","",SUMIFS(Lançamentos!$G$5:$G$1004,Lançamentos!$E$5:$E$1004,A112,Lançamentos!$C$5:$C$1004,"Saída"))</f>
        <v/>
      </c>
      <c r="L112" s="33" t="str">
        <f aca="false">IF(A112="","",I112-K112)</f>
        <v/>
      </c>
      <c r="M112" s="28"/>
      <c r="N112" s="4"/>
    </row>
    <row r="113" customFormat="false" ht="15" hidden="false" customHeight="false" outlineLevel="0" collapsed="false">
      <c r="A113" s="4"/>
      <c r="B113" s="4"/>
      <c r="C113" s="4"/>
      <c r="D113" s="4"/>
      <c r="E113" s="26"/>
      <c r="F113" s="26"/>
      <c r="G113" s="32"/>
      <c r="H113" s="28"/>
      <c r="I113" s="33" t="str">
        <f aca="false">IF(A113="","",SUMIFS(Lançamentos!$G$5:$G$1004,Lançamentos!$E$5:$E$1004,A113,Lançamentos!$C$5:$C$1004,"Entrada"))</f>
        <v/>
      </c>
      <c r="J113" s="33" t="str">
        <f aca="false">IF(A113="","",IF(OR(G113="Em produção",G113="Entregue"),MAX(H113-I113,0),0))</f>
        <v/>
      </c>
      <c r="K113" s="33" t="str">
        <f aca="false">IF(A113="","",SUMIFS(Lançamentos!$G$5:$G$1004,Lançamentos!$E$5:$E$1004,A113,Lançamentos!$C$5:$C$1004,"Saída"))</f>
        <v/>
      </c>
      <c r="L113" s="33" t="str">
        <f aca="false">IF(A113="","",I113-K113)</f>
        <v/>
      </c>
      <c r="M113" s="28"/>
      <c r="N113" s="4"/>
    </row>
    <row r="114" customFormat="false" ht="15" hidden="false" customHeight="false" outlineLevel="0" collapsed="false">
      <c r="A114" s="4"/>
      <c r="B114" s="4"/>
      <c r="C114" s="4"/>
      <c r="D114" s="4"/>
      <c r="E114" s="26"/>
      <c r="F114" s="26"/>
      <c r="G114" s="32"/>
      <c r="H114" s="28"/>
      <c r="I114" s="33" t="str">
        <f aca="false">IF(A114="","",SUMIFS(Lançamentos!$G$5:$G$1004,Lançamentos!$E$5:$E$1004,A114,Lançamentos!$C$5:$C$1004,"Entrada"))</f>
        <v/>
      </c>
      <c r="J114" s="33" t="str">
        <f aca="false">IF(A114="","",IF(OR(G114="Em produção",G114="Entregue"),MAX(H114-I114,0),0))</f>
        <v/>
      </c>
      <c r="K114" s="33" t="str">
        <f aca="false">IF(A114="","",SUMIFS(Lançamentos!$G$5:$G$1004,Lançamentos!$E$5:$E$1004,A114,Lançamentos!$C$5:$C$1004,"Saída"))</f>
        <v/>
      </c>
      <c r="L114" s="33" t="str">
        <f aca="false">IF(A114="","",I114-K114)</f>
        <v/>
      </c>
      <c r="M114" s="28"/>
      <c r="N114" s="4"/>
    </row>
    <row r="115" customFormat="false" ht="15" hidden="false" customHeight="false" outlineLevel="0" collapsed="false">
      <c r="A115" s="4"/>
      <c r="B115" s="4"/>
      <c r="C115" s="4"/>
      <c r="D115" s="4"/>
      <c r="E115" s="26"/>
      <c r="F115" s="26"/>
      <c r="G115" s="32"/>
      <c r="H115" s="28"/>
      <c r="I115" s="33" t="str">
        <f aca="false">IF(A115="","",SUMIFS(Lançamentos!$G$5:$G$1004,Lançamentos!$E$5:$E$1004,A115,Lançamentos!$C$5:$C$1004,"Entrada"))</f>
        <v/>
      </c>
      <c r="J115" s="33" t="str">
        <f aca="false">IF(A115="","",IF(OR(G115="Em produção",G115="Entregue"),MAX(H115-I115,0),0))</f>
        <v/>
      </c>
      <c r="K115" s="33" t="str">
        <f aca="false">IF(A115="","",SUMIFS(Lançamentos!$G$5:$G$1004,Lançamentos!$E$5:$E$1004,A115,Lançamentos!$C$5:$C$1004,"Saída"))</f>
        <v/>
      </c>
      <c r="L115" s="33" t="str">
        <f aca="false">IF(A115="","",I115-K115)</f>
        <v/>
      </c>
      <c r="M115" s="28"/>
      <c r="N115" s="4"/>
    </row>
    <row r="116" customFormat="false" ht="15" hidden="false" customHeight="false" outlineLevel="0" collapsed="false">
      <c r="A116" s="4"/>
      <c r="B116" s="4"/>
      <c r="C116" s="4"/>
      <c r="D116" s="4"/>
      <c r="E116" s="26"/>
      <c r="F116" s="26"/>
      <c r="G116" s="32"/>
      <c r="H116" s="28"/>
      <c r="I116" s="33" t="str">
        <f aca="false">IF(A116="","",SUMIFS(Lançamentos!$G$5:$G$1004,Lançamentos!$E$5:$E$1004,A116,Lançamentos!$C$5:$C$1004,"Entrada"))</f>
        <v/>
      </c>
      <c r="J116" s="33" t="str">
        <f aca="false">IF(A116="","",IF(OR(G116="Em produção",G116="Entregue"),MAX(H116-I116,0),0))</f>
        <v/>
      </c>
      <c r="K116" s="33" t="str">
        <f aca="false">IF(A116="","",SUMIFS(Lançamentos!$G$5:$G$1004,Lançamentos!$E$5:$E$1004,A116,Lançamentos!$C$5:$C$1004,"Saída"))</f>
        <v/>
      </c>
      <c r="L116" s="33" t="str">
        <f aca="false">IF(A116="","",I116-K116)</f>
        <v/>
      </c>
      <c r="M116" s="28"/>
      <c r="N116" s="4"/>
    </row>
    <row r="117" customFormat="false" ht="15" hidden="false" customHeight="false" outlineLevel="0" collapsed="false">
      <c r="A117" s="4"/>
      <c r="B117" s="4"/>
      <c r="C117" s="4"/>
      <c r="D117" s="4"/>
      <c r="E117" s="26"/>
      <c r="F117" s="26"/>
      <c r="G117" s="32"/>
      <c r="H117" s="28"/>
      <c r="I117" s="33" t="str">
        <f aca="false">IF(A117="","",SUMIFS(Lançamentos!$G$5:$G$1004,Lançamentos!$E$5:$E$1004,A117,Lançamentos!$C$5:$C$1004,"Entrada"))</f>
        <v/>
      </c>
      <c r="J117" s="33" t="str">
        <f aca="false">IF(A117="","",IF(OR(G117="Em produção",G117="Entregue"),MAX(H117-I117,0),0))</f>
        <v/>
      </c>
      <c r="K117" s="33" t="str">
        <f aca="false">IF(A117="","",SUMIFS(Lançamentos!$G$5:$G$1004,Lançamentos!$E$5:$E$1004,A117,Lançamentos!$C$5:$C$1004,"Saída"))</f>
        <v/>
      </c>
      <c r="L117" s="33" t="str">
        <f aca="false">IF(A117="","",I117-K117)</f>
        <v/>
      </c>
      <c r="M117" s="28"/>
      <c r="N117" s="4"/>
    </row>
    <row r="118" customFormat="false" ht="15" hidden="false" customHeight="false" outlineLevel="0" collapsed="false">
      <c r="A118" s="4"/>
      <c r="B118" s="4"/>
      <c r="C118" s="4"/>
      <c r="D118" s="4"/>
      <c r="E118" s="26"/>
      <c r="F118" s="26"/>
      <c r="G118" s="32"/>
      <c r="H118" s="28"/>
      <c r="I118" s="33" t="str">
        <f aca="false">IF(A118="","",SUMIFS(Lançamentos!$G$5:$G$1004,Lançamentos!$E$5:$E$1004,A118,Lançamentos!$C$5:$C$1004,"Entrada"))</f>
        <v/>
      </c>
      <c r="J118" s="33" t="str">
        <f aca="false">IF(A118="","",IF(OR(G118="Em produção",G118="Entregue"),MAX(H118-I118,0),0))</f>
        <v/>
      </c>
      <c r="K118" s="33" t="str">
        <f aca="false">IF(A118="","",SUMIFS(Lançamentos!$G$5:$G$1004,Lançamentos!$E$5:$E$1004,A118,Lançamentos!$C$5:$C$1004,"Saída"))</f>
        <v/>
      </c>
      <c r="L118" s="33" t="str">
        <f aca="false">IF(A118="","",I118-K118)</f>
        <v/>
      </c>
      <c r="M118" s="28"/>
      <c r="N118" s="4"/>
    </row>
    <row r="119" customFormat="false" ht="15" hidden="false" customHeight="false" outlineLevel="0" collapsed="false">
      <c r="A119" s="4"/>
      <c r="B119" s="4"/>
      <c r="C119" s="4"/>
      <c r="D119" s="4"/>
      <c r="E119" s="26"/>
      <c r="F119" s="26"/>
      <c r="G119" s="32"/>
      <c r="H119" s="28"/>
      <c r="I119" s="33" t="str">
        <f aca="false">IF(A119="","",SUMIFS(Lançamentos!$G$5:$G$1004,Lançamentos!$E$5:$E$1004,A119,Lançamentos!$C$5:$C$1004,"Entrada"))</f>
        <v/>
      </c>
      <c r="J119" s="33" t="str">
        <f aca="false">IF(A119="","",IF(OR(G119="Em produção",G119="Entregue"),MAX(H119-I119,0),0))</f>
        <v/>
      </c>
      <c r="K119" s="33" t="str">
        <f aca="false">IF(A119="","",SUMIFS(Lançamentos!$G$5:$G$1004,Lançamentos!$E$5:$E$1004,A119,Lançamentos!$C$5:$C$1004,"Saída"))</f>
        <v/>
      </c>
      <c r="L119" s="33" t="str">
        <f aca="false">IF(A119="","",I119-K119)</f>
        <v/>
      </c>
      <c r="M119" s="28"/>
      <c r="N119" s="4"/>
    </row>
    <row r="120" customFormat="false" ht="15" hidden="false" customHeight="false" outlineLevel="0" collapsed="false">
      <c r="A120" s="4"/>
      <c r="B120" s="4"/>
      <c r="C120" s="4"/>
      <c r="D120" s="4"/>
      <c r="E120" s="26"/>
      <c r="F120" s="26"/>
      <c r="G120" s="32"/>
      <c r="H120" s="28"/>
      <c r="I120" s="33" t="str">
        <f aca="false">IF(A120="","",SUMIFS(Lançamentos!$G$5:$G$1004,Lançamentos!$E$5:$E$1004,A120,Lançamentos!$C$5:$C$1004,"Entrada"))</f>
        <v/>
      </c>
      <c r="J120" s="33" t="str">
        <f aca="false">IF(A120="","",IF(OR(G120="Em produção",G120="Entregue"),MAX(H120-I120,0),0))</f>
        <v/>
      </c>
      <c r="K120" s="33" t="str">
        <f aca="false">IF(A120="","",SUMIFS(Lançamentos!$G$5:$G$1004,Lançamentos!$E$5:$E$1004,A120,Lançamentos!$C$5:$C$1004,"Saída"))</f>
        <v/>
      </c>
      <c r="L120" s="33" t="str">
        <f aca="false">IF(A120="","",I120-K120)</f>
        <v/>
      </c>
      <c r="M120" s="28"/>
      <c r="N120" s="4"/>
    </row>
    <row r="121" customFormat="false" ht="15" hidden="false" customHeight="false" outlineLevel="0" collapsed="false">
      <c r="A121" s="4"/>
      <c r="B121" s="4"/>
      <c r="C121" s="4"/>
      <c r="D121" s="4"/>
      <c r="E121" s="26"/>
      <c r="F121" s="26"/>
      <c r="G121" s="32"/>
      <c r="H121" s="28"/>
      <c r="I121" s="33" t="str">
        <f aca="false">IF(A121="","",SUMIFS(Lançamentos!$G$5:$G$1004,Lançamentos!$E$5:$E$1004,A121,Lançamentos!$C$5:$C$1004,"Entrada"))</f>
        <v/>
      </c>
      <c r="J121" s="33" t="str">
        <f aca="false">IF(A121="","",IF(OR(G121="Em produção",G121="Entregue"),MAX(H121-I121,0),0))</f>
        <v/>
      </c>
      <c r="K121" s="33" t="str">
        <f aca="false">IF(A121="","",SUMIFS(Lançamentos!$G$5:$G$1004,Lançamentos!$E$5:$E$1004,A121,Lançamentos!$C$5:$C$1004,"Saída"))</f>
        <v/>
      </c>
      <c r="L121" s="33" t="str">
        <f aca="false">IF(A121="","",I121-K121)</f>
        <v/>
      </c>
      <c r="M121" s="28"/>
      <c r="N121" s="4"/>
    </row>
    <row r="122" customFormat="false" ht="15" hidden="false" customHeight="false" outlineLevel="0" collapsed="false">
      <c r="A122" s="4"/>
      <c r="B122" s="4"/>
      <c r="C122" s="4"/>
      <c r="D122" s="4"/>
      <c r="E122" s="26"/>
      <c r="F122" s="26"/>
      <c r="G122" s="32"/>
      <c r="H122" s="28"/>
      <c r="I122" s="33" t="str">
        <f aca="false">IF(A122="","",SUMIFS(Lançamentos!$G$5:$G$1004,Lançamentos!$E$5:$E$1004,A122,Lançamentos!$C$5:$C$1004,"Entrada"))</f>
        <v/>
      </c>
      <c r="J122" s="33" t="str">
        <f aca="false">IF(A122="","",IF(OR(G122="Em produção",G122="Entregue"),MAX(H122-I122,0),0))</f>
        <v/>
      </c>
      <c r="K122" s="33" t="str">
        <f aca="false">IF(A122="","",SUMIFS(Lançamentos!$G$5:$G$1004,Lançamentos!$E$5:$E$1004,A122,Lançamentos!$C$5:$C$1004,"Saída"))</f>
        <v/>
      </c>
      <c r="L122" s="33" t="str">
        <f aca="false">IF(A122="","",I122-K122)</f>
        <v/>
      </c>
      <c r="M122" s="28"/>
      <c r="N122" s="4"/>
    </row>
    <row r="123" customFormat="false" ht="15" hidden="false" customHeight="false" outlineLevel="0" collapsed="false">
      <c r="A123" s="4"/>
      <c r="B123" s="4"/>
      <c r="C123" s="4"/>
      <c r="D123" s="4"/>
      <c r="E123" s="26"/>
      <c r="F123" s="26"/>
      <c r="G123" s="32"/>
      <c r="H123" s="28"/>
      <c r="I123" s="33" t="str">
        <f aca="false">IF(A123="","",SUMIFS(Lançamentos!$G$5:$G$1004,Lançamentos!$E$5:$E$1004,A123,Lançamentos!$C$5:$C$1004,"Entrada"))</f>
        <v/>
      </c>
      <c r="J123" s="33" t="str">
        <f aca="false">IF(A123="","",IF(OR(G123="Em produção",G123="Entregue"),MAX(H123-I123,0),0))</f>
        <v/>
      </c>
      <c r="K123" s="33" t="str">
        <f aca="false">IF(A123="","",SUMIFS(Lançamentos!$G$5:$G$1004,Lançamentos!$E$5:$E$1004,A123,Lançamentos!$C$5:$C$1004,"Saída"))</f>
        <v/>
      </c>
      <c r="L123" s="33" t="str">
        <f aca="false">IF(A123="","",I123-K123)</f>
        <v/>
      </c>
      <c r="M123" s="28"/>
      <c r="N123" s="4"/>
    </row>
    <row r="124" customFormat="false" ht="15" hidden="false" customHeight="false" outlineLevel="0" collapsed="false">
      <c r="A124" s="4"/>
      <c r="B124" s="4"/>
      <c r="C124" s="4"/>
      <c r="D124" s="4"/>
      <c r="E124" s="26"/>
      <c r="F124" s="26"/>
      <c r="G124" s="32"/>
      <c r="H124" s="28"/>
      <c r="I124" s="33" t="str">
        <f aca="false">IF(A124="","",SUMIFS(Lançamentos!$G$5:$G$1004,Lançamentos!$E$5:$E$1004,A124,Lançamentos!$C$5:$C$1004,"Entrada"))</f>
        <v/>
      </c>
      <c r="J124" s="33" t="str">
        <f aca="false">IF(A124="","",IF(OR(G124="Em produção",G124="Entregue"),MAX(H124-I124,0),0))</f>
        <v/>
      </c>
      <c r="K124" s="33" t="str">
        <f aca="false">IF(A124="","",SUMIFS(Lançamentos!$G$5:$G$1004,Lançamentos!$E$5:$E$1004,A124,Lançamentos!$C$5:$C$1004,"Saída"))</f>
        <v/>
      </c>
      <c r="L124" s="33" t="str">
        <f aca="false">IF(A124="","",I124-K124)</f>
        <v/>
      </c>
      <c r="M124" s="28"/>
      <c r="N124" s="4"/>
    </row>
    <row r="125" customFormat="false" ht="15" hidden="false" customHeight="false" outlineLevel="0" collapsed="false">
      <c r="A125" s="4"/>
      <c r="B125" s="4"/>
      <c r="C125" s="4"/>
      <c r="D125" s="4"/>
      <c r="E125" s="26"/>
      <c r="F125" s="26"/>
      <c r="G125" s="32"/>
      <c r="H125" s="28"/>
      <c r="I125" s="33" t="str">
        <f aca="false">IF(A125="","",SUMIFS(Lançamentos!$G$5:$G$1004,Lançamentos!$E$5:$E$1004,A125,Lançamentos!$C$5:$C$1004,"Entrada"))</f>
        <v/>
      </c>
      <c r="J125" s="33" t="str">
        <f aca="false">IF(A125="","",IF(OR(G125="Em produção",G125="Entregue"),MAX(H125-I125,0),0))</f>
        <v/>
      </c>
      <c r="K125" s="33" t="str">
        <f aca="false">IF(A125="","",SUMIFS(Lançamentos!$G$5:$G$1004,Lançamentos!$E$5:$E$1004,A125,Lançamentos!$C$5:$C$1004,"Saída"))</f>
        <v/>
      </c>
      <c r="L125" s="33" t="str">
        <f aca="false">IF(A125="","",I125-K125)</f>
        <v/>
      </c>
      <c r="M125" s="28"/>
      <c r="N125" s="4"/>
    </row>
    <row r="126" customFormat="false" ht="15" hidden="false" customHeight="false" outlineLevel="0" collapsed="false">
      <c r="A126" s="4"/>
      <c r="B126" s="4"/>
      <c r="C126" s="4"/>
      <c r="D126" s="4"/>
      <c r="E126" s="26"/>
      <c r="F126" s="26"/>
      <c r="G126" s="32"/>
      <c r="H126" s="28"/>
      <c r="I126" s="33" t="str">
        <f aca="false">IF(A126="","",SUMIFS(Lançamentos!$G$5:$G$1004,Lançamentos!$E$5:$E$1004,A126,Lançamentos!$C$5:$C$1004,"Entrada"))</f>
        <v/>
      </c>
      <c r="J126" s="33" t="str">
        <f aca="false">IF(A126="","",IF(OR(G126="Em produção",G126="Entregue"),MAX(H126-I126,0),0))</f>
        <v/>
      </c>
      <c r="K126" s="33" t="str">
        <f aca="false">IF(A126="","",SUMIFS(Lançamentos!$G$5:$G$1004,Lançamentos!$E$5:$E$1004,A126,Lançamentos!$C$5:$C$1004,"Saída"))</f>
        <v/>
      </c>
      <c r="L126" s="33" t="str">
        <f aca="false">IF(A126="","",I126-K126)</f>
        <v/>
      </c>
      <c r="M126" s="28"/>
      <c r="N126" s="4"/>
    </row>
    <row r="127" customFormat="false" ht="15" hidden="false" customHeight="false" outlineLevel="0" collapsed="false">
      <c r="A127" s="4"/>
      <c r="B127" s="4"/>
      <c r="C127" s="4"/>
      <c r="D127" s="4"/>
      <c r="E127" s="26"/>
      <c r="F127" s="26"/>
      <c r="G127" s="32"/>
      <c r="H127" s="28"/>
      <c r="I127" s="33" t="str">
        <f aca="false">IF(A127="","",SUMIFS(Lançamentos!$G$5:$G$1004,Lançamentos!$E$5:$E$1004,A127,Lançamentos!$C$5:$C$1004,"Entrada"))</f>
        <v/>
      </c>
      <c r="J127" s="33" t="str">
        <f aca="false">IF(A127="","",IF(OR(G127="Em produção",G127="Entregue"),MAX(H127-I127,0),0))</f>
        <v/>
      </c>
      <c r="K127" s="33" t="str">
        <f aca="false">IF(A127="","",SUMIFS(Lançamentos!$G$5:$G$1004,Lançamentos!$E$5:$E$1004,A127,Lançamentos!$C$5:$C$1004,"Saída"))</f>
        <v/>
      </c>
      <c r="L127" s="33" t="str">
        <f aca="false">IF(A127="","",I127-K127)</f>
        <v/>
      </c>
      <c r="M127" s="28"/>
      <c r="N127" s="4"/>
    </row>
    <row r="128" customFormat="false" ht="15" hidden="false" customHeight="false" outlineLevel="0" collapsed="false">
      <c r="A128" s="4"/>
      <c r="B128" s="4"/>
      <c r="C128" s="4"/>
      <c r="D128" s="4"/>
      <c r="E128" s="26"/>
      <c r="F128" s="26"/>
      <c r="G128" s="32"/>
      <c r="H128" s="28"/>
      <c r="I128" s="33" t="str">
        <f aca="false">IF(A128="","",SUMIFS(Lançamentos!$G$5:$G$1004,Lançamentos!$E$5:$E$1004,A128,Lançamentos!$C$5:$C$1004,"Entrada"))</f>
        <v/>
      </c>
      <c r="J128" s="33" t="str">
        <f aca="false">IF(A128="","",IF(OR(G128="Em produção",G128="Entregue"),MAX(H128-I128,0),0))</f>
        <v/>
      </c>
      <c r="K128" s="33" t="str">
        <f aca="false">IF(A128="","",SUMIFS(Lançamentos!$G$5:$G$1004,Lançamentos!$E$5:$E$1004,A128,Lançamentos!$C$5:$C$1004,"Saída"))</f>
        <v/>
      </c>
      <c r="L128" s="33" t="str">
        <f aca="false">IF(A128="","",I128-K128)</f>
        <v/>
      </c>
      <c r="M128" s="28"/>
      <c r="N128" s="4"/>
    </row>
    <row r="129" customFormat="false" ht="15" hidden="false" customHeight="false" outlineLevel="0" collapsed="false">
      <c r="A129" s="4"/>
      <c r="B129" s="4"/>
      <c r="C129" s="4"/>
      <c r="D129" s="4"/>
      <c r="E129" s="26"/>
      <c r="F129" s="26"/>
      <c r="G129" s="32"/>
      <c r="H129" s="28"/>
      <c r="I129" s="33" t="str">
        <f aca="false">IF(A129="","",SUMIFS(Lançamentos!$G$5:$G$1004,Lançamentos!$E$5:$E$1004,A129,Lançamentos!$C$5:$C$1004,"Entrada"))</f>
        <v/>
      </c>
      <c r="J129" s="33" t="str">
        <f aca="false">IF(A129="","",IF(OR(G129="Em produção",G129="Entregue"),MAX(H129-I129,0),0))</f>
        <v/>
      </c>
      <c r="K129" s="33" t="str">
        <f aca="false">IF(A129="","",SUMIFS(Lançamentos!$G$5:$G$1004,Lançamentos!$E$5:$E$1004,A129,Lançamentos!$C$5:$C$1004,"Saída"))</f>
        <v/>
      </c>
      <c r="L129" s="33" t="str">
        <f aca="false">IF(A129="","",I129-K129)</f>
        <v/>
      </c>
      <c r="M129" s="28"/>
      <c r="N129" s="4"/>
    </row>
    <row r="130" customFormat="false" ht="15" hidden="false" customHeight="false" outlineLevel="0" collapsed="false">
      <c r="A130" s="4"/>
      <c r="B130" s="4"/>
      <c r="C130" s="4"/>
      <c r="D130" s="4"/>
      <c r="E130" s="26"/>
      <c r="F130" s="26"/>
      <c r="G130" s="32"/>
      <c r="H130" s="28"/>
      <c r="I130" s="33" t="str">
        <f aca="false">IF(A130="","",SUMIFS(Lançamentos!$G$5:$G$1004,Lançamentos!$E$5:$E$1004,A130,Lançamentos!$C$5:$C$1004,"Entrada"))</f>
        <v/>
      </c>
      <c r="J130" s="33" t="str">
        <f aca="false">IF(A130="","",IF(OR(G130="Em produção",G130="Entregue"),MAX(H130-I130,0),0))</f>
        <v/>
      </c>
      <c r="K130" s="33" t="str">
        <f aca="false">IF(A130="","",SUMIFS(Lançamentos!$G$5:$G$1004,Lançamentos!$E$5:$E$1004,A130,Lançamentos!$C$5:$C$1004,"Saída"))</f>
        <v/>
      </c>
      <c r="L130" s="33" t="str">
        <f aca="false">IF(A130="","",I130-K130)</f>
        <v/>
      </c>
      <c r="M130" s="28"/>
      <c r="N130" s="4"/>
    </row>
    <row r="131" customFormat="false" ht="15" hidden="false" customHeight="false" outlineLevel="0" collapsed="false">
      <c r="A131" s="4"/>
      <c r="B131" s="4"/>
      <c r="C131" s="4"/>
      <c r="D131" s="4"/>
      <c r="E131" s="26"/>
      <c r="F131" s="26"/>
      <c r="G131" s="32"/>
      <c r="H131" s="28"/>
      <c r="I131" s="33" t="str">
        <f aca="false">IF(A131="","",SUMIFS(Lançamentos!$G$5:$G$1004,Lançamentos!$E$5:$E$1004,A131,Lançamentos!$C$5:$C$1004,"Entrada"))</f>
        <v/>
      </c>
      <c r="J131" s="33" t="str">
        <f aca="false">IF(A131="","",IF(OR(G131="Em produção",G131="Entregue"),MAX(H131-I131,0),0))</f>
        <v/>
      </c>
      <c r="K131" s="33" t="str">
        <f aca="false">IF(A131="","",SUMIFS(Lançamentos!$G$5:$G$1004,Lançamentos!$E$5:$E$1004,A131,Lançamentos!$C$5:$C$1004,"Saída"))</f>
        <v/>
      </c>
      <c r="L131" s="33" t="str">
        <f aca="false">IF(A131="","",I131-K131)</f>
        <v/>
      </c>
      <c r="M131" s="28"/>
      <c r="N131" s="4"/>
    </row>
    <row r="132" customFormat="false" ht="15" hidden="false" customHeight="false" outlineLevel="0" collapsed="false">
      <c r="A132" s="4"/>
      <c r="B132" s="4"/>
      <c r="C132" s="4"/>
      <c r="D132" s="4"/>
      <c r="E132" s="26"/>
      <c r="F132" s="26"/>
      <c r="G132" s="32"/>
      <c r="H132" s="28"/>
      <c r="I132" s="33" t="str">
        <f aca="false">IF(A132="","",SUMIFS(Lançamentos!$G$5:$G$1004,Lançamentos!$E$5:$E$1004,A132,Lançamentos!$C$5:$C$1004,"Entrada"))</f>
        <v/>
      </c>
      <c r="J132" s="33" t="str">
        <f aca="false">IF(A132="","",IF(OR(G132="Em produção",G132="Entregue"),MAX(H132-I132,0),0))</f>
        <v/>
      </c>
      <c r="K132" s="33" t="str">
        <f aca="false">IF(A132="","",SUMIFS(Lançamentos!$G$5:$G$1004,Lançamentos!$E$5:$E$1004,A132,Lançamentos!$C$5:$C$1004,"Saída"))</f>
        <v/>
      </c>
      <c r="L132" s="33" t="str">
        <f aca="false">IF(A132="","",I132-K132)</f>
        <v/>
      </c>
      <c r="M132" s="28"/>
      <c r="N132" s="4"/>
    </row>
    <row r="133" customFormat="false" ht="15" hidden="false" customHeight="false" outlineLevel="0" collapsed="false">
      <c r="A133" s="4"/>
      <c r="B133" s="4"/>
      <c r="C133" s="4"/>
      <c r="D133" s="4"/>
      <c r="E133" s="26"/>
      <c r="F133" s="26"/>
      <c r="G133" s="32"/>
      <c r="H133" s="28"/>
      <c r="I133" s="33" t="str">
        <f aca="false">IF(A133="","",SUMIFS(Lançamentos!$G$5:$G$1004,Lançamentos!$E$5:$E$1004,A133,Lançamentos!$C$5:$C$1004,"Entrada"))</f>
        <v/>
      </c>
      <c r="J133" s="33" t="str">
        <f aca="false">IF(A133="","",IF(OR(G133="Em produção",G133="Entregue"),MAX(H133-I133,0),0))</f>
        <v/>
      </c>
      <c r="K133" s="33" t="str">
        <f aca="false">IF(A133="","",SUMIFS(Lançamentos!$G$5:$G$1004,Lançamentos!$E$5:$E$1004,A133,Lançamentos!$C$5:$C$1004,"Saída"))</f>
        <v/>
      </c>
      <c r="L133" s="33" t="str">
        <f aca="false">IF(A133="","",I133-K133)</f>
        <v/>
      </c>
      <c r="M133" s="28"/>
      <c r="N133" s="4"/>
    </row>
    <row r="134" customFormat="false" ht="15" hidden="false" customHeight="false" outlineLevel="0" collapsed="false">
      <c r="A134" s="4"/>
      <c r="B134" s="4"/>
      <c r="C134" s="4"/>
      <c r="D134" s="4"/>
      <c r="E134" s="26"/>
      <c r="F134" s="26"/>
      <c r="G134" s="32"/>
      <c r="H134" s="28"/>
      <c r="I134" s="33" t="str">
        <f aca="false">IF(A134="","",SUMIFS(Lançamentos!$G$5:$G$1004,Lançamentos!$E$5:$E$1004,A134,Lançamentos!$C$5:$C$1004,"Entrada"))</f>
        <v/>
      </c>
      <c r="J134" s="33" t="str">
        <f aca="false">IF(A134="","",IF(OR(G134="Em produção",G134="Entregue"),MAX(H134-I134,0),0))</f>
        <v/>
      </c>
      <c r="K134" s="33" t="str">
        <f aca="false">IF(A134="","",SUMIFS(Lançamentos!$G$5:$G$1004,Lançamentos!$E$5:$E$1004,A134,Lançamentos!$C$5:$C$1004,"Saída"))</f>
        <v/>
      </c>
      <c r="L134" s="33" t="str">
        <f aca="false">IF(A134="","",I134-K134)</f>
        <v/>
      </c>
      <c r="M134" s="28"/>
      <c r="N134" s="4"/>
    </row>
    <row r="135" customFormat="false" ht="15" hidden="false" customHeight="false" outlineLevel="0" collapsed="false">
      <c r="A135" s="4"/>
      <c r="B135" s="4"/>
      <c r="C135" s="4"/>
      <c r="D135" s="4"/>
      <c r="E135" s="26"/>
      <c r="F135" s="26"/>
      <c r="G135" s="32"/>
      <c r="H135" s="28"/>
      <c r="I135" s="33" t="str">
        <f aca="false">IF(A135="","",SUMIFS(Lançamentos!$G$5:$G$1004,Lançamentos!$E$5:$E$1004,A135,Lançamentos!$C$5:$C$1004,"Entrada"))</f>
        <v/>
      </c>
      <c r="J135" s="33" t="str">
        <f aca="false">IF(A135="","",IF(OR(G135="Em produção",G135="Entregue"),MAX(H135-I135,0),0))</f>
        <v/>
      </c>
      <c r="K135" s="33" t="str">
        <f aca="false">IF(A135="","",SUMIFS(Lançamentos!$G$5:$G$1004,Lançamentos!$E$5:$E$1004,A135,Lançamentos!$C$5:$C$1004,"Saída"))</f>
        <v/>
      </c>
      <c r="L135" s="33" t="str">
        <f aca="false">IF(A135="","",I135-K135)</f>
        <v/>
      </c>
      <c r="M135" s="28"/>
      <c r="N135" s="4"/>
    </row>
    <row r="136" customFormat="false" ht="15" hidden="false" customHeight="false" outlineLevel="0" collapsed="false">
      <c r="A136" s="4"/>
      <c r="B136" s="4"/>
      <c r="C136" s="4"/>
      <c r="D136" s="4"/>
      <c r="E136" s="26"/>
      <c r="F136" s="26"/>
      <c r="G136" s="32"/>
      <c r="H136" s="28"/>
      <c r="I136" s="33" t="str">
        <f aca="false">IF(A136="","",SUMIFS(Lançamentos!$G$5:$G$1004,Lançamentos!$E$5:$E$1004,A136,Lançamentos!$C$5:$C$1004,"Entrada"))</f>
        <v/>
      </c>
      <c r="J136" s="33" t="str">
        <f aca="false">IF(A136="","",IF(OR(G136="Em produção",G136="Entregue"),MAX(H136-I136,0),0))</f>
        <v/>
      </c>
      <c r="K136" s="33" t="str">
        <f aca="false">IF(A136="","",SUMIFS(Lançamentos!$G$5:$G$1004,Lançamentos!$E$5:$E$1004,A136,Lançamentos!$C$5:$C$1004,"Saída"))</f>
        <v/>
      </c>
      <c r="L136" s="33" t="str">
        <f aca="false">IF(A136="","",I136-K136)</f>
        <v/>
      </c>
      <c r="M136" s="28"/>
      <c r="N136" s="4"/>
    </row>
    <row r="137" customFormat="false" ht="15" hidden="false" customHeight="false" outlineLevel="0" collapsed="false">
      <c r="A137" s="4"/>
      <c r="B137" s="4"/>
      <c r="C137" s="4"/>
      <c r="D137" s="4"/>
      <c r="E137" s="26"/>
      <c r="F137" s="26"/>
      <c r="G137" s="32"/>
      <c r="H137" s="28"/>
      <c r="I137" s="33" t="str">
        <f aca="false">IF(A137="","",SUMIFS(Lançamentos!$G$5:$G$1004,Lançamentos!$E$5:$E$1004,A137,Lançamentos!$C$5:$C$1004,"Entrada"))</f>
        <v/>
      </c>
      <c r="J137" s="33" t="str">
        <f aca="false">IF(A137="","",IF(OR(G137="Em produção",G137="Entregue"),MAX(H137-I137,0),0))</f>
        <v/>
      </c>
      <c r="K137" s="33" t="str">
        <f aca="false">IF(A137="","",SUMIFS(Lançamentos!$G$5:$G$1004,Lançamentos!$E$5:$E$1004,A137,Lançamentos!$C$5:$C$1004,"Saída"))</f>
        <v/>
      </c>
      <c r="L137" s="33" t="str">
        <f aca="false">IF(A137="","",I137-K137)</f>
        <v/>
      </c>
      <c r="M137" s="28"/>
      <c r="N137" s="4"/>
    </row>
    <row r="138" customFormat="false" ht="15" hidden="false" customHeight="false" outlineLevel="0" collapsed="false">
      <c r="A138" s="4"/>
      <c r="B138" s="4"/>
      <c r="C138" s="4"/>
      <c r="D138" s="4"/>
      <c r="E138" s="26"/>
      <c r="F138" s="26"/>
      <c r="G138" s="32"/>
      <c r="H138" s="28"/>
      <c r="I138" s="33" t="str">
        <f aca="false">IF(A138="","",SUMIFS(Lançamentos!$G$5:$G$1004,Lançamentos!$E$5:$E$1004,A138,Lançamentos!$C$5:$C$1004,"Entrada"))</f>
        <v/>
      </c>
      <c r="J138" s="33" t="str">
        <f aca="false">IF(A138="","",IF(OR(G138="Em produção",G138="Entregue"),MAX(H138-I138,0),0))</f>
        <v/>
      </c>
      <c r="K138" s="33" t="str">
        <f aca="false">IF(A138="","",SUMIFS(Lançamentos!$G$5:$G$1004,Lançamentos!$E$5:$E$1004,A138,Lançamentos!$C$5:$C$1004,"Saída"))</f>
        <v/>
      </c>
      <c r="L138" s="33" t="str">
        <f aca="false">IF(A138="","",I138-K138)</f>
        <v/>
      </c>
      <c r="M138" s="28"/>
      <c r="N138" s="4"/>
    </row>
    <row r="139" customFormat="false" ht="15" hidden="false" customHeight="false" outlineLevel="0" collapsed="false">
      <c r="A139" s="4"/>
      <c r="B139" s="4"/>
      <c r="C139" s="4"/>
      <c r="D139" s="4"/>
      <c r="E139" s="26"/>
      <c r="F139" s="26"/>
      <c r="G139" s="32"/>
      <c r="H139" s="28"/>
      <c r="I139" s="33" t="str">
        <f aca="false">IF(A139="","",SUMIFS(Lançamentos!$G$5:$G$1004,Lançamentos!$E$5:$E$1004,A139,Lançamentos!$C$5:$C$1004,"Entrada"))</f>
        <v/>
      </c>
      <c r="J139" s="33" t="str">
        <f aca="false">IF(A139="","",IF(OR(G139="Em produção",G139="Entregue"),MAX(H139-I139,0),0))</f>
        <v/>
      </c>
      <c r="K139" s="33" t="str">
        <f aca="false">IF(A139="","",SUMIFS(Lançamentos!$G$5:$G$1004,Lançamentos!$E$5:$E$1004,A139,Lançamentos!$C$5:$C$1004,"Saída"))</f>
        <v/>
      </c>
      <c r="L139" s="33" t="str">
        <f aca="false">IF(A139="","",I139-K139)</f>
        <v/>
      </c>
      <c r="M139" s="28"/>
      <c r="N139" s="4"/>
    </row>
    <row r="140" customFormat="false" ht="15" hidden="false" customHeight="false" outlineLevel="0" collapsed="false">
      <c r="A140" s="4"/>
      <c r="B140" s="4"/>
      <c r="C140" s="4"/>
      <c r="D140" s="4"/>
      <c r="E140" s="26"/>
      <c r="F140" s="26"/>
      <c r="G140" s="32"/>
      <c r="H140" s="28"/>
      <c r="I140" s="33" t="str">
        <f aca="false">IF(A140="","",SUMIFS(Lançamentos!$G$5:$G$1004,Lançamentos!$E$5:$E$1004,A140,Lançamentos!$C$5:$C$1004,"Entrada"))</f>
        <v/>
      </c>
      <c r="J140" s="33" t="str">
        <f aca="false">IF(A140="","",IF(OR(G140="Em produção",G140="Entregue"),MAX(H140-I140,0),0))</f>
        <v/>
      </c>
      <c r="K140" s="33" t="str">
        <f aca="false">IF(A140="","",SUMIFS(Lançamentos!$G$5:$G$1004,Lançamentos!$E$5:$E$1004,A140,Lançamentos!$C$5:$C$1004,"Saída"))</f>
        <v/>
      </c>
      <c r="L140" s="33" t="str">
        <f aca="false">IF(A140="","",I140-K140)</f>
        <v/>
      </c>
      <c r="M140" s="28"/>
      <c r="N140" s="4"/>
    </row>
    <row r="141" customFormat="false" ht="15" hidden="false" customHeight="false" outlineLevel="0" collapsed="false">
      <c r="A141" s="4"/>
      <c r="B141" s="4"/>
      <c r="C141" s="4"/>
      <c r="D141" s="4"/>
      <c r="E141" s="26"/>
      <c r="F141" s="26"/>
      <c r="G141" s="32"/>
      <c r="H141" s="28"/>
      <c r="I141" s="33" t="str">
        <f aca="false">IF(A141="","",SUMIFS(Lançamentos!$G$5:$G$1004,Lançamentos!$E$5:$E$1004,A141,Lançamentos!$C$5:$C$1004,"Entrada"))</f>
        <v/>
      </c>
      <c r="J141" s="33" t="str">
        <f aca="false">IF(A141="","",IF(OR(G141="Em produção",G141="Entregue"),MAX(H141-I141,0),0))</f>
        <v/>
      </c>
      <c r="K141" s="33" t="str">
        <f aca="false">IF(A141="","",SUMIFS(Lançamentos!$G$5:$G$1004,Lançamentos!$E$5:$E$1004,A141,Lançamentos!$C$5:$C$1004,"Saída"))</f>
        <v/>
      </c>
      <c r="L141" s="33" t="str">
        <f aca="false">IF(A141="","",I141-K141)</f>
        <v/>
      </c>
      <c r="M141" s="28"/>
      <c r="N141" s="4"/>
    </row>
    <row r="142" customFormat="false" ht="15" hidden="false" customHeight="false" outlineLevel="0" collapsed="false">
      <c r="A142" s="4"/>
      <c r="B142" s="4"/>
      <c r="C142" s="4"/>
      <c r="D142" s="4"/>
      <c r="E142" s="26"/>
      <c r="F142" s="26"/>
      <c r="G142" s="32"/>
      <c r="H142" s="28"/>
      <c r="I142" s="33" t="str">
        <f aca="false">IF(A142="","",SUMIFS(Lançamentos!$G$5:$G$1004,Lançamentos!$E$5:$E$1004,A142,Lançamentos!$C$5:$C$1004,"Entrada"))</f>
        <v/>
      </c>
      <c r="J142" s="33" t="str">
        <f aca="false">IF(A142="","",IF(OR(G142="Em produção",G142="Entregue"),MAX(H142-I142,0),0))</f>
        <v/>
      </c>
      <c r="K142" s="33" t="str">
        <f aca="false">IF(A142="","",SUMIFS(Lançamentos!$G$5:$G$1004,Lançamentos!$E$5:$E$1004,A142,Lançamentos!$C$5:$C$1004,"Saída"))</f>
        <v/>
      </c>
      <c r="L142" s="33" t="str">
        <f aca="false">IF(A142="","",I142-K142)</f>
        <v/>
      </c>
      <c r="M142" s="28"/>
      <c r="N142" s="4"/>
    </row>
    <row r="143" customFormat="false" ht="15" hidden="false" customHeight="false" outlineLevel="0" collapsed="false">
      <c r="A143" s="4"/>
      <c r="B143" s="4"/>
      <c r="C143" s="4"/>
      <c r="D143" s="4"/>
      <c r="E143" s="26"/>
      <c r="F143" s="26"/>
      <c r="G143" s="32"/>
      <c r="H143" s="28"/>
      <c r="I143" s="33" t="str">
        <f aca="false">IF(A143="","",SUMIFS(Lançamentos!$G$5:$G$1004,Lançamentos!$E$5:$E$1004,A143,Lançamentos!$C$5:$C$1004,"Entrada"))</f>
        <v/>
      </c>
      <c r="J143" s="33" t="str">
        <f aca="false">IF(A143="","",IF(OR(G143="Em produção",G143="Entregue"),MAX(H143-I143,0),0))</f>
        <v/>
      </c>
      <c r="K143" s="33" t="str">
        <f aca="false">IF(A143="","",SUMIFS(Lançamentos!$G$5:$G$1004,Lançamentos!$E$5:$E$1004,A143,Lançamentos!$C$5:$C$1004,"Saída"))</f>
        <v/>
      </c>
      <c r="L143" s="33" t="str">
        <f aca="false">IF(A143="","",I143-K143)</f>
        <v/>
      </c>
      <c r="M143" s="28"/>
      <c r="N143" s="4"/>
    </row>
    <row r="144" customFormat="false" ht="15" hidden="false" customHeight="false" outlineLevel="0" collapsed="false">
      <c r="A144" s="4"/>
      <c r="B144" s="4"/>
      <c r="C144" s="4"/>
      <c r="D144" s="4"/>
      <c r="E144" s="26"/>
      <c r="F144" s="26"/>
      <c r="G144" s="32"/>
      <c r="H144" s="28"/>
      <c r="I144" s="33" t="str">
        <f aca="false">IF(A144="","",SUMIFS(Lançamentos!$G$5:$G$1004,Lançamentos!$E$5:$E$1004,A144,Lançamentos!$C$5:$C$1004,"Entrada"))</f>
        <v/>
      </c>
      <c r="J144" s="33" t="str">
        <f aca="false">IF(A144="","",IF(OR(G144="Em produção",G144="Entregue"),MAX(H144-I144,0),0))</f>
        <v/>
      </c>
      <c r="K144" s="33" t="str">
        <f aca="false">IF(A144="","",SUMIFS(Lançamentos!$G$5:$G$1004,Lançamentos!$E$5:$E$1004,A144,Lançamentos!$C$5:$C$1004,"Saída"))</f>
        <v/>
      </c>
      <c r="L144" s="33" t="str">
        <f aca="false">IF(A144="","",I144-K144)</f>
        <v/>
      </c>
      <c r="M144" s="28"/>
      <c r="N144" s="4"/>
    </row>
    <row r="145" customFormat="false" ht="15" hidden="false" customHeight="false" outlineLevel="0" collapsed="false">
      <c r="A145" s="4"/>
      <c r="B145" s="4"/>
      <c r="C145" s="4"/>
      <c r="D145" s="4"/>
      <c r="E145" s="26"/>
      <c r="F145" s="26"/>
      <c r="G145" s="32"/>
      <c r="H145" s="28"/>
      <c r="I145" s="33" t="str">
        <f aca="false">IF(A145="","",SUMIFS(Lançamentos!$G$5:$G$1004,Lançamentos!$E$5:$E$1004,A145,Lançamentos!$C$5:$C$1004,"Entrada"))</f>
        <v/>
      </c>
      <c r="J145" s="33" t="str">
        <f aca="false">IF(A145="","",IF(OR(G145="Em produção",G145="Entregue"),MAX(H145-I145,0),0))</f>
        <v/>
      </c>
      <c r="K145" s="33" t="str">
        <f aca="false">IF(A145="","",SUMIFS(Lançamentos!$G$5:$G$1004,Lançamentos!$E$5:$E$1004,A145,Lançamentos!$C$5:$C$1004,"Saída"))</f>
        <v/>
      </c>
      <c r="L145" s="33" t="str">
        <f aca="false">IF(A145="","",I145-K145)</f>
        <v/>
      </c>
      <c r="M145" s="28"/>
      <c r="N145" s="4"/>
    </row>
    <row r="146" customFormat="false" ht="15" hidden="false" customHeight="false" outlineLevel="0" collapsed="false">
      <c r="A146" s="4"/>
      <c r="B146" s="4"/>
      <c r="C146" s="4"/>
      <c r="D146" s="4"/>
      <c r="E146" s="26"/>
      <c r="F146" s="26"/>
      <c r="G146" s="32"/>
      <c r="H146" s="28"/>
      <c r="I146" s="33" t="str">
        <f aca="false">IF(A146="","",SUMIFS(Lançamentos!$G$5:$G$1004,Lançamentos!$E$5:$E$1004,A146,Lançamentos!$C$5:$C$1004,"Entrada"))</f>
        <v/>
      </c>
      <c r="J146" s="33" t="str">
        <f aca="false">IF(A146="","",IF(OR(G146="Em produção",G146="Entregue"),MAX(H146-I146,0),0))</f>
        <v/>
      </c>
      <c r="K146" s="33" t="str">
        <f aca="false">IF(A146="","",SUMIFS(Lançamentos!$G$5:$G$1004,Lançamentos!$E$5:$E$1004,A146,Lançamentos!$C$5:$C$1004,"Saída"))</f>
        <v/>
      </c>
      <c r="L146" s="33" t="str">
        <f aca="false">IF(A146="","",I146-K146)</f>
        <v/>
      </c>
      <c r="M146" s="28"/>
      <c r="N146" s="4"/>
    </row>
    <row r="147" customFormat="false" ht="15" hidden="false" customHeight="false" outlineLevel="0" collapsed="false">
      <c r="A147" s="4"/>
      <c r="B147" s="4"/>
      <c r="C147" s="4"/>
      <c r="D147" s="4"/>
      <c r="E147" s="26"/>
      <c r="F147" s="26"/>
      <c r="G147" s="32"/>
      <c r="H147" s="28"/>
      <c r="I147" s="33" t="str">
        <f aca="false">IF(A147="","",SUMIFS(Lançamentos!$G$5:$G$1004,Lançamentos!$E$5:$E$1004,A147,Lançamentos!$C$5:$C$1004,"Entrada"))</f>
        <v/>
      </c>
      <c r="J147" s="33" t="str">
        <f aca="false">IF(A147="","",IF(OR(G147="Em produção",G147="Entregue"),MAX(H147-I147,0),0))</f>
        <v/>
      </c>
      <c r="K147" s="33" t="str">
        <f aca="false">IF(A147="","",SUMIFS(Lançamentos!$G$5:$G$1004,Lançamentos!$E$5:$E$1004,A147,Lançamentos!$C$5:$C$1004,"Saída"))</f>
        <v/>
      </c>
      <c r="L147" s="33" t="str">
        <f aca="false">IF(A147="","",I147-K147)</f>
        <v/>
      </c>
      <c r="M147" s="28"/>
      <c r="N147" s="4"/>
    </row>
    <row r="148" customFormat="false" ht="15" hidden="false" customHeight="false" outlineLevel="0" collapsed="false">
      <c r="A148" s="4"/>
      <c r="B148" s="4"/>
      <c r="C148" s="4"/>
      <c r="D148" s="4"/>
      <c r="E148" s="26"/>
      <c r="F148" s="26"/>
      <c r="G148" s="32"/>
      <c r="H148" s="28"/>
      <c r="I148" s="33" t="str">
        <f aca="false">IF(A148="","",SUMIFS(Lançamentos!$G$5:$G$1004,Lançamentos!$E$5:$E$1004,A148,Lançamentos!$C$5:$C$1004,"Entrada"))</f>
        <v/>
      </c>
      <c r="J148" s="33" t="str">
        <f aca="false">IF(A148="","",IF(OR(G148="Em produção",G148="Entregue"),MAX(H148-I148,0),0))</f>
        <v/>
      </c>
      <c r="K148" s="33" t="str">
        <f aca="false">IF(A148="","",SUMIFS(Lançamentos!$G$5:$G$1004,Lançamentos!$E$5:$E$1004,A148,Lançamentos!$C$5:$C$1004,"Saída"))</f>
        <v/>
      </c>
      <c r="L148" s="33" t="str">
        <f aca="false">IF(A148="","",I148-K148)</f>
        <v/>
      </c>
      <c r="M148" s="28"/>
      <c r="N148" s="4"/>
    </row>
    <row r="149" customFormat="false" ht="15" hidden="false" customHeight="false" outlineLevel="0" collapsed="false">
      <c r="A149" s="4"/>
      <c r="B149" s="4"/>
      <c r="C149" s="4"/>
      <c r="D149" s="4"/>
      <c r="E149" s="26"/>
      <c r="F149" s="26"/>
      <c r="G149" s="32"/>
      <c r="H149" s="28"/>
      <c r="I149" s="33" t="str">
        <f aca="false">IF(A149="","",SUMIFS(Lançamentos!$G$5:$G$1004,Lançamentos!$E$5:$E$1004,A149,Lançamentos!$C$5:$C$1004,"Entrada"))</f>
        <v/>
      </c>
      <c r="J149" s="33" t="str">
        <f aca="false">IF(A149="","",IF(OR(G149="Em produção",G149="Entregue"),MAX(H149-I149,0),0))</f>
        <v/>
      </c>
      <c r="K149" s="33" t="str">
        <f aca="false">IF(A149="","",SUMIFS(Lançamentos!$G$5:$G$1004,Lançamentos!$E$5:$E$1004,A149,Lançamentos!$C$5:$C$1004,"Saída"))</f>
        <v/>
      </c>
      <c r="L149" s="33" t="str">
        <f aca="false">IF(A149="","",I149-K149)</f>
        <v/>
      </c>
      <c r="M149" s="28"/>
      <c r="N149" s="4"/>
    </row>
    <row r="150" customFormat="false" ht="15" hidden="false" customHeight="false" outlineLevel="0" collapsed="false">
      <c r="A150" s="4"/>
      <c r="B150" s="4"/>
      <c r="C150" s="4"/>
      <c r="D150" s="4"/>
      <c r="E150" s="26"/>
      <c r="F150" s="26"/>
      <c r="G150" s="32"/>
      <c r="H150" s="28"/>
      <c r="I150" s="33" t="str">
        <f aca="false">IF(A150="","",SUMIFS(Lançamentos!$G$5:$G$1004,Lançamentos!$E$5:$E$1004,A150,Lançamentos!$C$5:$C$1004,"Entrada"))</f>
        <v/>
      </c>
      <c r="J150" s="33" t="str">
        <f aca="false">IF(A150="","",IF(OR(G150="Em produção",G150="Entregue"),MAX(H150-I150,0),0))</f>
        <v/>
      </c>
      <c r="K150" s="33" t="str">
        <f aca="false">IF(A150="","",SUMIFS(Lançamentos!$G$5:$G$1004,Lançamentos!$E$5:$E$1004,A150,Lançamentos!$C$5:$C$1004,"Saída"))</f>
        <v/>
      </c>
      <c r="L150" s="33" t="str">
        <f aca="false">IF(A150="","",I150-K150)</f>
        <v/>
      </c>
      <c r="M150" s="28"/>
      <c r="N150" s="4"/>
    </row>
    <row r="151" customFormat="false" ht="15" hidden="false" customHeight="false" outlineLevel="0" collapsed="false">
      <c r="A151" s="4"/>
      <c r="B151" s="4"/>
      <c r="C151" s="4"/>
      <c r="D151" s="4"/>
      <c r="E151" s="26"/>
      <c r="F151" s="26"/>
      <c r="G151" s="32"/>
      <c r="H151" s="28"/>
      <c r="I151" s="33" t="str">
        <f aca="false">IF(A151="","",SUMIFS(Lançamentos!$G$5:$G$1004,Lançamentos!$E$5:$E$1004,A151,Lançamentos!$C$5:$C$1004,"Entrada"))</f>
        <v/>
      </c>
      <c r="J151" s="33" t="str">
        <f aca="false">IF(A151="","",IF(OR(G151="Em produção",G151="Entregue"),MAX(H151-I151,0),0))</f>
        <v/>
      </c>
      <c r="K151" s="33" t="str">
        <f aca="false">IF(A151="","",SUMIFS(Lançamentos!$G$5:$G$1004,Lançamentos!$E$5:$E$1004,A151,Lançamentos!$C$5:$C$1004,"Saída"))</f>
        <v/>
      </c>
      <c r="L151" s="33" t="str">
        <f aca="false">IF(A151="","",I151-K151)</f>
        <v/>
      </c>
      <c r="M151" s="28"/>
      <c r="N151" s="4"/>
    </row>
    <row r="152" customFormat="false" ht="15" hidden="false" customHeight="false" outlineLevel="0" collapsed="false">
      <c r="A152" s="4"/>
      <c r="B152" s="4"/>
      <c r="C152" s="4"/>
      <c r="D152" s="4"/>
      <c r="E152" s="26"/>
      <c r="F152" s="26"/>
      <c r="G152" s="32"/>
      <c r="H152" s="28"/>
      <c r="I152" s="33" t="str">
        <f aca="false">IF(A152="","",SUMIFS(Lançamentos!$G$5:$G$1004,Lançamentos!$E$5:$E$1004,A152,Lançamentos!$C$5:$C$1004,"Entrada"))</f>
        <v/>
      </c>
      <c r="J152" s="33" t="str">
        <f aca="false">IF(A152="","",IF(OR(G152="Em produção",G152="Entregue"),MAX(H152-I152,0),0))</f>
        <v/>
      </c>
      <c r="K152" s="33" t="str">
        <f aca="false">IF(A152="","",SUMIFS(Lançamentos!$G$5:$G$1004,Lançamentos!$E$5:$E$1004,A152,Lançamentos!$C$5:$C$1004,"Saída"))</f>
        <v/>
      </c>
      <c r="L152" s="33" t="str">
        <f aca="false">IF(A152="","",I152-K152)</f>
        <v/>
      </c>
      <c r="M152" s="28"/>
      <c r="N152" s="4"/>
    </row>
    <row r="153" customFormat="false" ht="15" hidden="false" customHeight="false" outlineLevel="0" collapsed="false">
      <c r="A153" s="4"/>
      <c r="B153" s="4"/>
      <c r="C153" s="4"/>
      <c r="D153" s="4"/>
      <c r="E153" s="26"/>
      <c r="F153" s="26"/>
      <c r="G153" s="32"/>
      <c r="H153" s="28"/>
      <c r="I153" s="33" t="str">
        <f aca="false">IF(A153="","",SUMIFS(Lançamentos!$G$5:$G$1004,Lançamentos!$E$5:$E$1004,A153,Lançamentos!$C$5:$C$1004,"Entrada"))</f>
        <v/>
      </c>
      <c r="J153" s="33" t="str">
        <f aca="false">IF(A153="","",IF(OR(G153="Em produção",G153="Entregue"),MAX(H153-I153,0),0))</f>
        <v/>
      </c>
      <c r="K153" s="33" t="str">
        <f aca="false">IF(A153="","",SUMIFS(Lançamentos!$G$5:$G$1004,Lançamentos!$E$5:$E$1004,A153,Lançamentos!$C$5:$C$1004,"Saída"))</f>
        <v/>
      </c>
      <c r="L153" s="33" t="str">
        <f aca="false">IF(A153="","",I153-K153)</f>
        <v/>
      </c>
      <c r="M153" s="28"/>
      <c r="N153" s="4"/>
    </row>
    <row r="154" customFormat="false" ht="15" hidden="false" customHeight="false" outlineLevel="0" collapsed="false">
      <c r="A154" s="4"/>
      <c r="B154" s="4"/>
      <c r="C154" s="4"/>
      <c r="D154" s="4"/>
      <c r="E154" s="26"/>
      <c r="F154" s="26"/>
      <c r="G154" s="32"/>
      <c r="H154" s="28"/>
      <c r="I154" s="33" t="str">
        <f aca="false">IF(A154="","",SUMIFS(Lançamentos!$G$5:$G$1004,Lançamentos!$E$5:$E$1004,A154,Lançamentos!$C$5:$C$1004,"Entrada"))</f>
        <v/>
      </c>
      <c r="J154" s="33" t="str">
        <f aca="false">IF(A154="","",IF(OR(G154="Em produção",G154="Entregue"),MAX(H154-I154,0),0))</f>
        <v/>
      </c>
      <c r="K154" s="33" t="str">
        <f aca="false">IF(A154="","",SUMIFS(Lançamentos!$G$5:$G$1004,Lançamentos!$E$5:$E$1004,A154,Lançamentos!$C$5:$C$1004,"Saída"))</f>
        <v/>
      </c>
      <c r="L154" s="33" t="str">
        <f aca="false">IF(A154="","",I154-K154)</f>
        <v/>
      </c>
      <c r="M154" s="28"/>
      <c r="N154" s="4"/>
    </row>
    <row r="155" customFormat="false" ht="15" hidden="false" customHeight="false" outlineLevel="0" collapsed="false">
      <c r="A155" s="4"/>
      <c r="B155" s="4"/>
      <c r="C155" s="4"/>
      <c r="D155" s="4"/>
      <c r="E155" s="26"/>
      <c r="F155" s="26"/>
      <c r="G155" s="32"/>
      <c r="H155" s="28"/>
      <c r="I155" s="33" t="str">
        <f aca="false">IF(A155="","",SUMIFS(Lançamentos!$G$5:$G$1004,Lançamentos!$E$5:$E$1004,A155,Lançamentos!$C$5:$C$1004,"Entrada"))</f>
        <v/>
      </c>
      <c r="J155" s="33" t="str">
        <f aca="false">IF(A155="","",IF(OR(G155="Em produção",G155="Entregue"),MAX(H155-I155,0),0))</f>
        <v/>
      </c>
      <c r="K155" s="33" t="str">
        <f aca="false">IF(A155="","",SUMIFS(Lançamentos!$G$5:$G$1004,Lançamentos!$E$5:$E$1004,A155,Lançamentos!$C$5:$C$1004,"Saída"))</f>
        <v/>
      </c>
      <c r="L155" s="33" t="str">
        <f aca="false">IF(A155="","",I155-K155)</f>
        <v/>
      </c>
      <c r="M155" s="28"/>
      <c r="N155" s="4"/>
    </row>
    <row r="156" customFormat="false" ht="15" hidden="false" customHeight="false" outlineLevel="0" collapsed="false">
      <c r="A156" s="4"/>
      <c r="B156" s="4"/>
      <c r="C156" s="4"/>
      <c r="D156" s="4"/>
      <c r="E156" s="26"/>
      <c r="F156" s="26"/>
      <c r="G156" s="32"/>
      <c r="H156" s="28"/>
      <c r="I156" s="33" t="str">
        <f aca="false">IF(A156="","",SUMIFS(Lançamentos!$G$5:$G$1004,Lançamentos!$E$5:$E$1004,A156,Lançamentos!$C$5:$C$1004,"Entrada"))</f>
        <v/>
      </c>
      <c r="J156" s="33" t="str">
        <f aca="false">IF(A156="","",IF(OR(G156="Em produção",G156="Entregue"),MAX(H156-I156,0),0))</f>
        <v/>
      </c>
      <c r="K156" s="33" t="str">
        <f aca="false">IF(A156="","",SUMIFS(Lançamentos!$G$5:$G$1004,Lançamentos!$E$5:$E$1004,A156,Lançamentos!$C$5:$C$1004,"Saída"))</f>
        <v/>
      </c>
      <c r="L156" s="33" t="str">
        <f aca="false">IF(A156="","",I156-K156)</f>
        <v/>
      </c>
      <c r="M156" s="28"/>
      <c r="N156" s="4"/>
    </row>
    <row r="157" customFormat="false" ht="15" hidden="false" customHeight="false" outlineLevel="0" collapsed="false">
      <c r="A157" s="4"/>
      <c r="B157" s="4"/>
      <c r="C157" s="4"/>
      <c r="D157" s="4"/>
      <c r="E157" s="26"/>
      <c r="F157" s="26"/>
      <c r="G157" s="32"/>
      <c r="H157" s="28"/>
      <c r="I157" s="33" t="str">
        <f aca="false">IF(A157="","",SUMIFS(Lançamentos!$G$5:$G$1004,Lançamentos!$E$5:$E$1004,A157,Lançamentos!$C$5:$C$1004,"Entrada"))</f>
        <v/>
      </c>
      <c r="J157" s="33" t="str">
        <f aca="false">IF(A157="","",IF(OR(G157="Em produção",G157="Entregue"),MAX(H157-I157,0),0))</f>
        <v/>
      </c>
      <c r="K157" s="33" t="str">
        <f aca="false">IF(A157="","",SUMIFS(Lançamentos!$G$5:$G$1004,Lançamentos!$E$5:$E$1004,A157,Lançamentos!$C$5:$C$1004,"Saída"))</f>
        <v/>
      </c>
      <c r="L157" s="33" t="str">
        <f aca="false">IF(A157="","",I157-K157)</f>
        <v/>
      </c>
      <c r="M157" s="28"/>
      <c r="N157" s="4"/>
    </row>
    <row r="158" customFormat="false" ht="15" hidden="false" customHeight="false" outlineLevel="0" collapsed="false">
      <c r="A158" s="4"/>
      <c r="B158" s="4"/>
      <c r="C158" s="4"/>
      <c r="D158" s="4"/>
      <c r="E158" s="26"/>
      <c r="F158" s="26"/>
      <c r="G158" s="32"/>
      <c r="H158" s="28"/>
      <c r="I158" s="33" t="str">
        <f aca="false">IF(A158="","",SUMIFS(Lançamentos!$G$5:$G$1004,Lançamentos!$E$5:$E$1004,A158,Lançamentos!$C$5:$C$1004,"Entrada"))</f>
        <v/>
      </c>
      <c r="J158" s="33" t="str">
        <f aca="false">IF(A158="","",IF(OR(G158="Em produção",G158="Entregue"),MAX(H158-I158,0),0))</f>
        <v/>
      </c>
      <c r="K158" s="33" t="str">
        <f aca="false">IF(A158="","",SUMIFS(Lançamentos!$G$5:$G$1004,Lançamentos!$E$5:$E$1004,A158,Lançamentos!$C$5:$C$1004,"Saída"))</f>
        <v/>
      </c>
      <c r="L158" s="33" t="str">
        <f aca="false">IF(A158="","",I158-K158)</f>
        <v/>
      </c>
      <c r="M158" s="28"/>
      <c r="N158" s="4"/>
    </row>
    <row r="159" customFormat="false" ht="15" hidden="false" customHeight="false" outlineLevel="0" collapsed="false">
      <c r="A159" s="4"/>
      <c r="B159" s="4"/>
      <c r="C159" s="4"/>
      <c r="D159" s="4"/>
      <c r="E159" s="26"/>
      <c r="F159" s="26"/>
      <c r="G159" s="32"/>
      <c r="H159" s="28"/>
      <c r="I159" s="33" t="str">
        <f aca="false">IF(A159="","",SUMIFS(Lançamentos!$G$5:$G$1004,Lançamentos!$E$5:$E$1004,A159,Lançamentos!$C$5:$C$1004,"Entrada"))</f>
        <v/>
      </c>
      <c r="J159" s="33" t="str">
        <f aca="false">IF(A159="","",IF(OR(G159="Em produção",G159="Entregue"),MAX(H159-I159,0),0))</f>
        <v/>
      </c>
      <c r="K159" s="33" t="str">
        <f aca="false">IF(A159="","",SUMIFS(Lançamentos!$G$5:$G$1004,Lançamentos!$E$5:$E$1004,A159,Lançamentos!$C$5:$C$1004,"Saída"))</f>
        <v/>
      </c>
      <c r="L159" s="33" t="str">
        <f aca="false">IF(A159="","",I159-K159)</f>
        <v/>
      </c>
      <c r="M159" s="28"/>
      <c r="N159" s="4"/>
    </row>
    <row r="160" customFormat="false" ht="15" hidden="false" customHeight="false" outlineLevel="0" collapsed="false">
      <c r="A160" s="4"/>
      <c r="B160" s="4"/>
      <c r="C160" s="4"/>
      <c r="D160" s="4"/>
      <c r="E160" s="26"/>
      <c r="F160" s="26"/>
      <c r="G160" s="32"/>
      <c r="H160" s="28"/>
      <c r="I160" s="33" t="str">
        <f aca="false">IF(A160="","",SUMIFS(Lançamentos!$G$5:$G$1004,Lançamentos!$E$5:$E$1004,A160,Lançamentos!$C$5:$C$1004,"Entrada"))</f>
        <v/>
      </c>
      <c r="J160" s="33" t="str">
        <f aca="false">IF(A160="","",IF(OR(G160="Em produção",G160="Entregue"),MAX(H160-I160,0),0))</f>
        <v/>
      </c>
      <c r="K160" s="33" t="str">
        <f aca="false">IF(A160="","",SUMIFS(Lançamentos!$G$5:$G$1004,Lançamentos!$E$5:$E$1004,A160,Lançamentos!$C$5:$C$1004,"Saída"))</f>
        <v/>
      </c>
      <c r="L160" s="33" t="str">
        <f aca="false">IF(A160="","",I160-K160)</f>
        <v/>
      </c>
      <c r="M160" s="28"/>
      <c r="N160" s="4"/>
    </row>
    <row r="161" customFormat="false" ht="15" hidden="false" customHeight="false" outlineLevel="0" collapsed="false">
      <c r="A161" s="4"/>
      <c r="B161" s="4"/>
      <c r="C161" s="4"/>
      <c r="D161" s="4"/>
      <c r="E161" s="26"/>
      <c r="F161" s="26"/>
      <c r="G161" s="32"/>
      <c r="H161" s="28"/>
      <c r="I161" s="33" t="str">
        <f aca="false">IF(A161="","",SUMIFS(Lançamentos!$G$5:$G$1004,Lançamentos!$E$5:$E$1004,A161,Lançamentos!$C$5:$C$1004,"Entrada"))</f>
        <v/>
      </c>
      <c r="J161" s="33" t="str">
        <f aca="false">IF(A161="","",IF(OR(G161="Em produção",G161="Entregue"),MAX(H161-I161,0),0))</f>
        <v/>
      </c>
      <c r="K161" s="33" t="str">
        <f aca="false">IF(A161="","",SUMIFS(Lançamentos!$G$5:$G$1004,Lançamentos!$E$5:$E$1004,A161,Lançamentos!$C$5:$C$1004,"Saída"))</f>
        <v/>
      </c>
      <c r="L161" s="33" t="str">
        <f aca="false">IF(A161="","",I161-K161)</f>
        <v/>
      </c>
      <c r="M161" s="28"/>
      <c r="N161" s="4"/>
    </row>
    <row r="162" customFormat="false" ht="15" hidden="false" customHeight="false" outlineLevel="0" collapsed="false">
      <c r="A162" s="4"/>
      <c r="B162" s="4"/>
      <c r="C162" s="4"/>
      <c r="D162" s="4"/>
      <c r="E162" s="26"/>
      <c r="F162" s="26"/>
      <c r="G162" s="32"/>
      <c r="H162" s="28"/>
      <c r="I162" s="33" t="str">
        <f aca="false">IF(A162="","",SUMIFS(Lançamentos!$G$5:$G$1004,Lançamentos!$E$5:$E$1004,A162,Lançamentos!$C$5:$C$1004,"Entrada"))</f>
        <v/>
      </c>
      <c r="J162" s="33" t="str">
        <f aca="false">IF(A162="","",IF(OR(G162="Em produção",G162="Entregue"),MAX(H162-I162,0),0))</f>
        <v/>
      </c>
      <c r="K162" s="33" t="str">
        <f aca="false">IF(A162="","",SUMIFS(Lançamentos!$G$5:$G$1004,Lançamentos!$E$5:$E$1004,A162,Lançamentos!$C$5:$C$1004,"Saída"))</f>
        <v/>
      </c>
      <c r="L162" s="33" t="str">
        <f aca="false">IF(A162="","",I162-K162)</f>
        <v/>
      </c>
      <c r="M162" s="28"/>
      <c r="N162" s="4"/>
    </row>
    <row r="163" customFormat="false" ht="15" hidden="false" customHeight="false" outlineLevel="0" collapsed="false">
      <c r="A163" s="4"/>
      <c r="B163" s="4"/>
      <c r="C163" s="4"/>
      <c r="D163" s="4"/>
      <c r="E163" s="26"/>
      <c r="F163" s="26"/>
      <c r="G163" s="32"/>
      <c r="H163" s="28"/>
      <c r="I163" s="33" t="str">
        <f aca="false">IF(A163="","",SUMIFS(Lançamentos!$G$5:$G$1004,Lançamentos!$E$5:$E$1004,A163,Lançamentos!$C$5:$C$1004,"Entrada"))</f>
        <v/>
      </c>
      <c r="J163" s="33" t="str">
        <f aca="false">IF(A163="","",IF(OR(G163="Em produção",G163="Entregue"),MAX(H163-I163,0),0))</f>
        <v/>
      </c>
      <c r="K163" s="33" t="str">
        <f aca="false">IF(A163="","",SUMIFS(Lançamentos!$G$5:$G$1004,Lançamentos!$E$5:$E$1004,A163,Lançamentos!$C$5:$C$1004,"Saída"))</f>
        <v/>
      </c>
      <c r="L163" s="33" t="str">
        <f aca="false">IF(A163="","",I163-K163)</f>
        <v/>
      </c>
      <c r="M163" s="28"/>
      <c r="N163" s="4"/>
    </row>
    <row r="164" customFormat="false" ht="15" hidden="false" customHeight="false" outlineLevel="0" collapsed="false">
      <c r="A164" s="4"/>
      <c r="B164" s="4"/>
      <c r="C164" s="4"/>
      <c r="D164" s="4"/>
      <c r="E164" s="26"/>
      <c r="F164" s="26"/>
      <c r="G164" s="32"/>
      <c r="H164" s="28"/>
      <c r="I164" s="33" t="str">
        <f aca="false">IF(A164="","",SUMIFS(Lançamentos!$G$5:$G$1004,Lançamentos!$E$5:$E$1004,A164,Lançamentos!$C$5:$C$1004,"Entrada"))</f>
        <v/>
      </c>
      <c r="J164" s="33" t="str">
        <f aca="false">IF(A164="","",IF(OR(G164="Em produção",G164="Entregue"),MAX(H164-I164,0),0))</f>
        <v/>
      </c>
      <c r="K164" s="33" t="str">
        <f aca="false">IF(A164="","",SUMIFS(Lançamentos!$G$5:$G$1004,Lançamentos!$E$5:$E$1004,A164,Lançamentos!$C$5:$C$1004,"Saída"))</f>
        <v/>
      </c>
      <c r="L164" s="33" t="str">
        <f aca="false">IF(A164="","",I164-K164)</f>
        <v/>
      </c>
      <c r="M164" s="28"/>
      <c r="N164" s="4"/>
    </row>
    <row r="165" customFormat="false" ht="15" hidden="false" customHeight="false" outlineLevel="0" collapsed="false">
      <c r="A165" s="4"/>
      <c r="B165" s="4"/>
      <c r="C165" s="4"/>
      <c r="D165" s="4"/>
      <c r="E165" s="26"/>
      <c r="F165" s="26"/>
      <c r="G165" s="32"/>
      <c r="H165" s="28"/>
      <c r="I165" s="33" t="str">
        <f aca="false">IF(A165="","",SUMIFS(Lançamentos!$G$5:$G$1004,Lançamentos!$E$5:$E$1004,A165,Lançamentos!$C$5:$C$1004,"Entrada"))</f>
        <v/>
      </c>
      <c r="J165" s="33" t="str">
        <f aca="false">IF(A165="","",IF(OR(G165="Em produção",G165="Entregue"),MAX(H165-I165,0),0))</f>
        <v/>
      </c>
      <c r="K165" s="33" t="str">
        <f aca="false">IF(A165="","",SUMIFS(Lançamentos!$G$5:$G$1004,Lançamentos!$E$5:$E$1004,A165,Lançamentos!$C$5:$C$1004,"Saída"))</f>
        <v/>
      </c>
      <c r="L165" s="33" t="str">
        <f aca="false">IF(A165="","",I165-K165)</f>
        <v/>
      </c>
      <c r="M165" s="28"/>
      <c r="N165" s="4"/>
    </row>
    <row r="166" customFormat="false" ht="15" hidden="false" customHeight="false" outlineLevel="0" collapsed="false">
      <c r="A166" s="4"/>
      <c r="B166" s="4"/>
      <c r="C166" s="4"/>
      <c r="D166" s="4"/>
      <c r="E166" s="26"/>
      <c r="F166" s="26"/>
      <c r="G166" s="32"/>
      <c r="H166" s="28"/>
      <c r="I166" s="33" t="str">
        <f aca="false">IF(A166="","",SUMIFS(Lançamentos!$G$5:$G$1004,Lançamentos!$E$5:$E$1004,A166,Lançamentos!$C$5:$C$1004,"Entrada"))</f>
        <v/>
      </c>
      <c r="J166" s="33" t="str">
        <f aca="false">IF(A166="","",IF(OR(G166="Em produção",G166="Entregue"),MAX(H166-I166,0),0))</f>
        <v/>
      </c>
      <c r="K166" s="33" t="str">
        <f aca="false">IF(A166="","",SUMIFS(Lançamentos!$G$5:$G$1004,Lançamentos!$E$5:$E$1004,A166,Lançamentos!$C$5:$C$1004,"Saída"))</f>
        <v/>
      </c>
      <c r="L166" s="33" t="str">
        <f aca="false">IF(A166="","",I166-K166)</f>
        <v/>
      </c>
      <c r="M166" s="28"/>
      <c r="N166" s="4"/>
    </row>
    <row r="167" customFormat="false" ht="15" hidden="false" customHeight="false" outlineLevel="0" collapsed="false">
      <c r="A167" s="4"/>
      <c r="B167" s="4"/>
      <c r="C167" s="4"/>
      <c r="D167" s="4"/>
      <c r="E167" s="26"/>
      <c r="F167" s="26"/>
      <c r="G167" s="32"/>
      <c r="H167" s="28"/>
      <c r="I167" s="33" t="str">
        <f aca="false">IF(A167="","",SUMIFS(Lançamentos!$G$5:$G$1004,Lançamentos!$E$5:$E$1004,A167,Lançamentos!$C$5:$C$1004,"Entrada"))</f>
        <v/>
      </c>
      <c r="J167" s="33" t="str">
        <f aca="false">IF(A167="","",IF(OR(G167="Em produção",G167="Entregue"),MAX(H167-I167,0),0))</f>
        <v/>
      </c>
      <c r="K167" s="33" t="str">
        <f aca="false">IF(A167="","",SUMIFS(Lançamentos!$G$5:$G$1004,Lançamentos!$E$5:$E$1004,A167,Lançamentos!$C$5:$C$1004,"Saída"))</f>
        <v/>
      </c>
      <c r="L167" s="33" t="str">
        <f aca="false">IF(A167="","",I167-K167)</f>
        <v/>
      </c>
      <c r="M167" s="28"/>
      <c r="N167" s="4"/>
    </row>
    <row r="168" customFormat="false" ht="15" hidden="false" customHeight="false" outlineLevel="0" collapsed="false">
      <c r="A168" s="4"/>
      <c r="B168" s="4"/>
      <c r="C168" s="4"/>
      <c r="D168" s="4"/>
      <c r="E168" s="26"/>
      <c r="F168" s="26"/>
      <c r="G168" s="32"/>
      <c r="H168" s="28"/>
      <c r="I168" s="33" t="str">
        <f aca="false">IF(A168="","",SUMIFS(Lançamentos!$G$5:$G$1004,Lançamentos!$E$5:$E$1004,A168,Lançamentos!$C$5:$C$1004,"Entrada"))</f>
        <v/>
      </c>
      <c r="J168" s="33" t="str">
        <f aca="false">IF(A168="","",IF(OR(G168="Em produção",G168="Entregue"),MAX(H168-I168,0),0))</f>
        <v/>
      </c>
      <c r="K168" s="33" t="str">
        <f aca="false">IF(A168="","",SUMIFS(Lançamentos!$G$5:$G$1004,Lançamentos!$E$5:$E$1004,A168,Lançamentos!$C$5:$C$1004,"Saída"))</f>
        <v/>
      </c>
      <c r="L168" s="33" t="str">
        <f aca="false">IF(A168="","",I168-K168)</f>
        <v/>
      </c>
      <c r="M168" s="28"/>
      <c r="N168" s="4"/>
    </row>
    <row r="169" customFormat="false" ht="15" hidden="false" customHeight="false" outlineLevel="0" collapsed="false">
      <c r="A169" s="4"/>
      <c r="B169" s="4"/>
      <c r="C169" s="4"/>
      <c r="D169" s="4"/>
      <c r="E169" s="26"/>
      <c r="F169" s="26"/>
      <c r="G169" s="32"/>
      <c r="H169" s="28"/>
      <c r="I169" s="33" t="str">
        <f aca="false">IF(A169="","",SUMIFS(Lançamentos!$G$5:$G$1004,Lançamentos!$E$5:$E$1004,A169,Lançamentos!$C$5:$C$1004,"Entrada"))</f>
        <v/>
      </c>
      <c r="J169" s="33" t="str">
        <f aca="false">IF(A169="","",IF(OR(G169="Em produção",G169="Entregue"),MAX(H169-I169,0),0))</f>
        <v/>
      </c>
      <c r="K169" s="33" t="str">
        <f aca="false">IF(A169="","",SUMIFS(Lançamentos!$G$5:$G$1004,Lançamentos!$E$5:$E$1004,A169,Lançamentos!$C$5:$C$1004,"Saída"))</f>
        <v/>
      </c>
      <c r="L169" s="33" t="str">
        <f aca="false">IF(A169="","",I169-K169)</f>
        <v/>
      </c>
      <c r="M169" s="28"/>
      <c r="N169" s="4"/>
    </row>
    <row r="170" customFormat="false" ht="15" hidden="false" customHeight="false" outlineLevel="0" collapsed="false">
      <c r="A170" s="4"/>
      <c r="B170" s="4"/>
      <c r="C170" s="4"/>
      <c r="D170" s="4"/>
      <c r="E170" s="26"/>
      <c r="F170" s="26"/>
      <c r="G170" s="32"/>
      <c r="H170" s="28"/>
      <c r="I170" s="33" t="str">
        <f aca="false">IF(A170="","",SUMIFS(Lançamentos!$G$5:$G$1004,Lançamentos!$E$5:$E$1004,A170,Lançamentos!$C$5:$C$1004,"Entrada"))</f>
        <v/>
      </c>
      <c r="J170" s="33" t="str">
        <f aca="false">IF(A170="","",IF(OR(G170="Em produção",G170="Entregue"),MAX(H170-I170,0),0))</f>
        <v/>
      </c>
      <c r="K170" s="33" t="str">
        <f aca="false">IF(A170="","",SUMIFS(Lançamentos!$G$5:$G$1004,Lançamentos!$E$5:$E$1004,A170,Lançamentos!$C$5:$C$1004,"Saída"))</f>
        <v/>
      </c>
      <c r="L170" s="33" t="str">
        <f aca="false">IF(A170="","",I170-K170)</f>
        <v/>
      </c>
      <c r="M170" s="28"/>
      <c r="N170" s="4"/>
    </row>
    <row r="171" customFormat="false" ht="15" hidden="false" customHeight="false" outlineLevel="0" collapsed="false">
      <c r="A171" s="4"/>
      <c r="B171" s="4"/>
      <c r="C171" s="4"/>
      <c r="D171" s="4"/>
      <c r="E171" s="26"/>
      <c r="F171" s="26"/>
      <c r="G171" s="32"/>
      <c r="H171" s="28"/>
      <c r="I171" s="33" t="str">
        <f aca="false">IF(A171="","",SUMIFS(Lançamentos!$G$5:$G$1004,Lançamentos!$E$5:$E$1004,A171,Lançamentos!$C$5:$C$1004,"Entrada"))</f>
        <v/>
      </c>
      <c r="J171" s="33" t="str">
        <f aca="false">IF(A171="","",IF(OR(G171="Em produção",G171="Entregue"),MAX(H171-I171,0),0))</f>
        <v/>
      </c>
      <c r="K171" s="33" t="str">
        <f aca="false">IF(A171="","",SUMIFS(Lançamentos!$G$5:$G$1004,Lançamentos!$E$5:$E$1004,A171,Lançamentos!$C$5:$C$1004,"Saída"))</f>
        <v/>
      </c>
      <c r="L171" s="33" t="str">
        <f aca="false">IF(A171="","",I171-K171)</f>
        <v/>
      </c>
      <c r="M171" s="28"/>
      <c r="N171" s="4"/>
    </row>
    <row r="172" customFormat="false" ht="15" hidden="false" customHeight="false" outlineLevel="0" collapsed="false">
      <c r="A172" s="4"/>
      <c r="B172" s="4"/>
      <c r="C172" s="4"/>
      <c r="D172" s="4"/>
      <c r="E172" s="26"/>
      <c r="F172" s="26"/>
      <c r="G172" s="32"/>
      <c r="H172" s="28"/>
      <c r="I172" s="33" t="str">
        <f aca="false">IF(A172="","",SUMIFS(Lançamentos!$G$5:$G$1004,Lançamentos!$E$5:$E$1004,A172,Lançamentos!$C$5:$C$1004,"Entrada"))</f>
        <v/>
      </c>
      <c r="J172" s="33" t="str">
        <f aca="false">IF(A172="","",IF(OR(G172="Em produção",G172="Entregue"),MAX(H172-I172,0),0))</f>
        <v/>
      </c>
      <c r="K172" s="33" t="str">
        <f aca="false">IF(A172="","",SUMIFS(Lançamentos!$G$5:$G$1004,Lançamentos!$E$5:$E$1004,A172,Lançamentos!$C$5:$C$1004,"Saída"))</f>
        <v/>
      </c>
      <c r="L172" s="33" t="str">
        <f aca="false">IF(A172="","",I172-K172)</f>
        <v/>
      </c>
      <c r="M172" s="28"/>
      <c r="N172" s="4"/>
    </row>
    <row r="173" customFormat="false" ht="15" hidden="false" customHeight="false" outlineLevel="0" collapsed="false">
      <c r="A173" s="4"/>
      <c r="B173" s="4"/>
      <c r="C173" s="4"/>
      <c r="D173" s="4"/>
      <c r="E173" s="26"/>
      <c r="F173" s="26"/>
      <c r="G173" s="32"/>
      <c r="H173" s="28"/>
      <c r="I173" s="33" t="str">
        <f aca="false">IF(A173="","",SUMIFS(Lançamentos!$G$5:$G$1004,Lançamentos!$E$5:$E$1004,A173,Lançamentos!$C$5:$C$1004,"Entrada"))</f>
        <v/>
      </c>
      <c r="J173" s="33" t="str">
        <f aca="false">IF(A173="","",IF(OR(G173="Em produção",G173="Entregue"),MAX(H173-I173,0),0))</f>
        <v/>
      </c>
      <c r="K173" s="33" t="str">
        <f aca="false">IF(A173="","",SUMIFS(Lançamentos!$G$5:$G$1004,Lançamentos!$E$5:$E$1004,A173,Lançamentos!$C$5:$C$1004,"Saída"))</f>
        <v/>
      </c>
      <c r="L173" s="33" t="str">
        <f aca="false">IF(A173="","",I173-K173)</f>
        <v/>
      </c>
      <c r="M173" s="28"/>
      <c r="N173" s="4"/>
    </row>
    <row r="174" customFormat="false" ht="15" hidden="false" customHeight="false" outlineLevel="0" collapsed="false">
      <c r="A174" s="4"/>
      <c r="B174" s="4"/>
      <c r="C174" s="4"/>
      <c r="D174" s="4"/>
      <c r="E174" s="26"/>
      <c r="F174" s="26"/>
      <c r="G174" s="32"/>
      <c r="H174" s="28"/>
      <c r="I174" s="33" t="str">
        <f aca="false">IF(A174="","",SUMIFS(Lançamentos!$G$5:$G$1004,Lançamentos!$E$5:$E$1004,A174,Lançamentos!$C$5:$C$1004,"Entrada"))</f>
        <v/>
      </c>
      <c r="J174" s="33" t="str">
        <f aca="false">IF(A174="","",IF(OR(G174="Em produção",G174="Entregue"),MAX(H174-I174,0),0))</f>
        <v/>
      </c>
      <c r="K174" s="33" t="str">
        <f aca="false">IF(A174="","",SUMIFS(Lançamentos!$G$5:$G$1004,Lançamentos!$E$5:$E$1004,A174,Lançamentos!$C$5:$C$1004,"Saída"))</f>
        <v/>
      </c>
      <c r="L174" s="33" t="str">
        <f aca="false">IF(A174="","",I174-K174)</f>
        <v/>
      </c>
      <c r="M174" s="28"/>
      <c r="N174" s="4"/>
    </row>
    <row r="175" customFormat="false" ht="15" hidden="false" customHeight="false" outlineLevel="0" collapsed="false">
      <c r="A175" s="4"/>
      <c r="B175" s="4"/>
      <c r="C175" s="4"/>
      <c r="D175" s="4"/>
      <c r="E175" s="26"/>
      <c r="F175" s="26"/>
      <c r="G175" s="32"/>
      <c r="H175" s="28"/>
      <c r="I175" s="33" t="str">
        <f aca="false">IF(A175="","",SUMIFS(Lançamentos!$G$5:$G$1004,Lançamentos!$E$5:$E$1004,A175,Lançamentos!$C$5:$C$1004,"Entrada"))</f>
        <v/>
      </c>
      <c r="J175" s="33" t="str">
        <f aca="false">IF(A175="","",IF(OR(G175="Em produção",G175="Entregue"),MAX(H175-I175,0),0))</f>
        <v/>
      </c>
      <c r="K175" s="33" t="str">
        <f aca="false">IF(A175="","",SUMIFS(Lançamentos!$G$5:$G$1004,Lançamentos!$E$5:$E$1004,A175,Lançamentos!$C$5:$C$1004,"Saída"))</f>
        <v/>
      </c>
      <c r="L175" s="33" t="str">
        <f aca="false">IF(A175="","",I175-K175)</f>
        <v/>
      </c>
      <c r="M175" s="28"/>
      <c r="N175" s="4"/>
    </row>
    <row r="176" customFormat="false" ht="15" hidden="false" customHeight="false" outlineLevel="0" collapsed="false">
      <c r="A176" s="4"/>
      <c r="B176" s="4"/>
      <c r="C176" s="4"/>
      <c r="D176" s="4"/>
      <c r="E176" s="26"/>
      <c r="F176" s="26"/>
      <c r="G176" s="32"/>
      <c r="H176" s="28"/>
      <c r="I176" s="33" t="str">
        <f aca="false">IF(A176="","",SUMIFS(Lançamentos!$G$5:$G$1004,Lançamentos!$E$5:$E$1004,A176,Lançamentos!$C$5:$C$1004,"Entrada"))</f>
        <v/>
      </c>
      <c r="J176" s="33" t="str">
        <f aca="false">IF(A176="","",IF(OR(G176="Em produção",G176="Entregue"),MAX(H176-I176,0),0))</f>
        <v/>
      </c>
      <c r="K176" s="33" t="str">
        <f aca="false">IF(A176="","",SUMIFS(Lançamentos!$G$5:$G$1004,Lançamentos!$E$5:$E$1004,A176,Lançamentos!$C$5:$C$1004,"Saída"))</f>
        <v/>
      </c>
      <c r="L176" s="33" t="str">
        <f aca="false">IF(A176="","",I176-K176)</f>
        <v/>
      </c>
      <c r="M176" s="28"/>
      <c r="N176" s="4"/>
    </row>
    <row r="177" customFormat="false" ht="15" hidden="false" customHeight="false" outlineLevel="0" collapsed="false">
      <c r="A177" s="4"/>
      <c r="B177" s="4"/>
      <c r="C177" s="4"/>
      <c r="D177" s="4"/>
      <c r="E177" s="26"/>
      <c r="F177" s="26"/>
      <c r="G177" s="32"/>
      <c r="H177" s="28"/>
      <c r="I177" s="33" t="str">
        <f aca="false">IF(A177="","",SUMIFS(Lançamentos!$G$5:$G$1004,Lançamentos!$E$5:$E$1004,A177,Lançamentos!$C$5:$C$1004,"Entrada"))</f>
        <v/>
      </c>
      <c r="J177" s="33" t="str">
        <f aca="false">IF(A177="","",IF(OR(G177="Em produção",G177="Entregue"),MAX(H177-I177,0),0))</f>
        <v/>
      </c>
      <c r="K177" s="33" t="str">
        <f aca="false">IF(A177="","",SUMIFS(Lançamentos!$G$5:$G$1004,Lançamentos!$E$5:$E$1004,A177,Lançamentos!$C$5:$C$1004,"Saída"))</f>
        <v/>
      </c>
      <c r="L177" s="33" t="str">
        <f aca="false">IF(A177="","",I177-K177)</f>
        <v/>
      </c>
      <c r="M177" s="28"/>
      <c r="N177" s="4"/>
    </row>
    <row r="178" customFormat="false" ht="15" hidden="false" customHeight="false" outlineLevel="0" collapsed="false">
      <c r="A178" s="4"/>
      <c r="B178" s="4"/>
      <c r="C178" s="4"/>
      <c r="D178" s="4"/>
      <c r="E178" s="26"/>
      <c r="F178" s="26"/>
      <c r="G178" s="32"/>
      <c r="H178" s="28"/>
      <c r="I178" s="33" t="str">
        <f aca="false">IF(A178="","",SUMIFS(Lançamentos!$G$5:$G$1004,Lançamentos!$E$5:$E$1004,A178,Lançamentos!$C$5:$C$1004,"Entrada"))</f>
        <v/>
      </c>
      <c r="J178" s="33" t="str">
        <f aca="false">IF(A178="","",IF(OR(G178="Em produção",G178="Entregue"),MAX(H178-I178,0),0))</f>
        <v/>
      </c>
      <c r="K178" s="33" t="str">
        <f aca="false">IF(A178="","",SUMIFS(Lançamentos!$G$5:$G$1004,Lançamentos!$E$5:$E$1004,A178,Lançamentos!$C$5:$C$1004,"Saída"))</f>
        <v/>
      </c>
      <c r="L178" s="33" t="str">
        <f aca="false">IF(A178="","",I178-K178)</f>
        <v/>
      </c>
      <c r="M178" s="28"/>
      <c r="N178" s="4"/>
    </row>
    <row r="179" customFormat="false" ht="15" hidden="false" customHeight="false" outlineLevel="0" collapsed="false">
      <c r="A179" s="4"/>
      <c r="B179" s="4"/>
      <c r="C179" s="4"/>
      <c r="D179" s="4"/>
      <c r="E179" s="26"/>
      <c r="F179" s="26"/>
      <c r="G179" s="32"/>
      <c r="H179" s="28"/>
      <c r="I179" s="33" t="str">
        <f aca="false">IF(A179="","",SUMIFS(Lançamentos!$G$5:$G$1004,Lançamentos!$E$5:$E$1004,A179,Lançamentos!$C$5:$C$1004,"Entrada"))</f>
        <v/>
      </c>
      <c r="J179" s="33" t="str">
        <f aca="false">IF(A179="","",IF(OR(G179="Em produção",G179="Entregue"),MAX(H179-I179,0),0))</f>
        <v/>
      </c>
      <c r="K179" s="33" t="str">
        <f aca="false">IF(A179="","",SUMIFS(Lançamentos!$G$5:$G$1004,Lançamentos!$E$5:$E$1004,A179,Lançamentos!$C$5:$C$1004,"Saída"))</f>
        <v/>
      </c>
      <c r="L179" s="33" t="str">
        <f aca="false">IF(A179="","",I179-K179)</f>
        <v/>
      </c>
      <c r="M179" s="28"/>
      <c r="N179" s="4"/>
    </row>
    <row r="180" customFormat="false" ht="15" hidden="false" customHeight="false" outlineLevel="0" collapsed="false">
      <c r="A180" s="4"/>
      <c r="B180" s="4"/>
      <c r="C180" s="4"/>
      <c r="D180" s="4"/>
      <c r="E180" s="26"/>
      <c r="F180" s="26"/>
      <c r="G180" s="32"/>
      <c r="H180" s="28"/>
      <c r="I180" s="33" t="str">
        <f aca="false">IF(A180="","",SUMIFS(Lançamentos!$G$5:$G$1004,Lançamentos!$E$5:$E$1004,A180,Lançamentos!$C$5:$C$1004,"Entrada"))</f>
        <v/>
      </c>
      <c r="J180" s="33" t="str">
        <f aca="false">IF(A180="","",IF(OR(G180="Em produção",G180="Entregue"),MAX(H180-I180,0),0))</f>
        <v/>
      </c>
      <c r="K180" s="33" t="str">
        <f aca="false">IF(A180="","",SUMIFS(Lançamentos!$G$5:$G$1004,Lançamentos!$E$5:$E$1004,A180,Lançamentos!$C$5:$C$1004,"Saída"))</f>
        <v/>
      </c>
      <c r="L180" s="33" t="str">
        <f aca="false">IF(A180="","",I180-K180)</f>
        <v/>
      </c>
      <c r="M180" s="28"/>
      <c r="N180" s="4"/>
    </row>
    <row r="181" customFormat="false" ht="15" hidden="false" customHeight="false" outlineLevel="0" collapsed="false">
      <c r="A181" s="4"/>
      <c r="B181" s="4"/>
      <c r="C181" s="4"/>
      <c r="D181" s="4"/>
      <c r="E181" s="26"/>
      <c r="F181" s="26"/>
      <c r="G181" s="32"/>
      <c r="H181" s="28"/>
      <c r="I181" s="33" t="str">
        <f aca="false">IF(A181="","",SUMIFS(Lançamentos!$G$5:$G$1004,Lançamentos!$E$5:$E$1004,A181,Lançamentos!$C$5:$C$1004,"Entrada"))</f>
        <v/>
      </c>
      <c r="J181" s="33" t="str">
        <f aca="false">IF(A181="","",IF(OR(G181="Em produção",G181="Entregue"),MAX(H181-I181,0),0))</f>
        <v/>
      </c>
      <c r="K181" s="33" t="str">
        <f aca="false">IF(A181="","",SUMIFS(Lançamentos!$G$5:$G$1004,Lançamentos!$E$5:$E$1004,A181,Lançamentos!$C$5:$C$1004,"Saída"))</f>
        <v/>
      </c>
      <c r="L181" s="33" t="str">
        <f aca="false">IF(A181="","",I181-K181)</f>
        <v/>
      </c>
      <c r="M181" s="28"/>
      <c r="N181" s="4"/>
    </row>
    <row r="182" customFormat="false" ht="15" hidden="false" customHeight="false" outlineLevel="0" collapsed="false">
      <c r="A182" s="4"/>
      <c r="B182" s="4"/>
      <c r="C182" s="4"/>
      <c r="D182" s="4"/>
      <c r="E182" s="26"/>
      <c r="F182" s="26"/>
      <c r="G182" s="32"/>
      <c r="H182" s="28"/>
      <c r="I182" s="33" t="str">
        <f aca="false">IF(A182="","",SUMIFS(Lançamentos!$G$5:$G$1004,Lançamentos!$E$5:$E$1004,A182,Lançamentos!$C$5:$C$1004,"Entrada"))</f>
        <v/>
      </c>
      <c r="J182" s="33" t="str">
        <f aca="false">IF(A182="","",IF(OR(G182="Em produção",G182="Entregue"),MAX(H182-I182,0),0))</f>
        <v/>
      </c>
      <c r="K182" s="33" t="str">
        <f aca="false">IF(A182="","",SUMIFS(Lançamentos!$G$5:$G$1004,Lançamentos!$E$5:$E$1004,A182,Lançamentos!$C$5:$C$1004,"Saída"))</f>
        <v/>
      </c>
      <c r="L182" s="33" t="str">
        <f aca="false">IF(A182="","",I182-K182)</f>
        <v/>
      </c>
      <c r="M182" s="28"/>
      <c r="N182" s="4"/>
    </row>
    <row r="183" customFormat="false" ht="15" hidden="false" customHeight="false" outlineLevel="0" collapsed="false">
      <c r="A183" s="4"/>
      <c r="B183" s="4"/>
      <c r="C183" s="4"/>
      <c r="D183" s="4"/>
      <c r="E183" s="26"/>
      <c r="F183" s="26"/>
      <c r="G183" s="32"/>
      <c r="H183" s="28"/>
      <c r="I183" s="33" t="str">
        <f aca="false">IF(A183="","",SUMIFS(Lançamentos!$G$5:$G$1004,Lançamentos!$E$5:$E$1004,A183,Lançamentos!$C$5:$C$1004,"Entrada"))</f>
        <v/>
      </c>
      <c r="J183" s="33" t="str">
        <f aca="false">IF(A183="","",IF(OR(G183="Em produção",G183="Entregue"),MAX(H183-I183,0),0))</f>
        <v/>
      </c>
      <c r="K183" s="33" t="str">
        <f aca="false">IF(A183="","",SUMIFS(Lançamentos!$G$5:$G$1004,Lançamentos!$E$5:$E$1004,A183,Lançamentos!$C$5:$C$1004,"Saída"))</f>
        <v/>
      </c>
      <c r="L183" s="33" t="str">
        <f aca="false">IF(A183="","",I183-K183)</f>
        <v/>
      </c>
      <c r="M183" s="28"/>
      <c r="N183" s="4"/>
    </row>
    <row r="184" customFormat="false" ht="15" hidden="false" customHeight="false" outlineLevel="0" collapsed="false">
      <c r="A184" s="4"/>
      <c r="B184" s="4"/>
      <c r="C184" s="4"/>
      <c r="D184" s="4"/>
      <c r="E184" s="26"/>
      <c r="F184" s="26"/>
      <c r="G184" s="32"/>
      <c r="H184" s="28"/>
      <c r="I184" s="33" t="str">
        <f aca="false">IF(A184="","",SUMIFS(Lançamentos!$G$5:$G$1004,Lançamentos!$E$5:$E$1004,A184,Lançamentos!$C$5:$C$1004,"Entrada"))</f>
        <v/>
      </c>
      <c r="J184" s="33" t="str">
        <f aca="false">IF(A184="","",IF(OR(G184="Em produção",G184="Entregue"),MAX(H184-I184,0),0))</f>
        <v/>
      </c>
      <c r="K184" s="33" t="str">
        <f aca="false">IF(A184="","",SUMIFS(Lançamentos!$G$5:$G$1004,Lançamentos!$E$5:$E$1004,A184,Lançamentos!$C$5:$C$1004,"Saída"))</f>
        <v/>
      </c>
      <c r="L184" s="33" t="str">
        <f aca="false">IF(A184="","",I184-K184)</f>
        <v/>
      </c>
      <c r="M184" s="28"/>
      <c r="N184" s="4"/>
    </row>
    <row r="185" customFormat="false" ht="15" hidden="false" customHeight="false" outlineLevel="0" collapsed="false">
      <c r="A185" s="4"/>
      <c r="B185" s="4"/>
      <c r="C185" s="4"/>
      <c r="D185" s="4"/>
      <c r="E185" s="26"/>
      <c r="F185" s="26"/>
      <c r="G185" s="32"/>
      <c r="H185" s="28"/>
      <c r="I185" s="33" t="str">
        <f aca="false">IF(A185="","",SUMIFS(Lançamentos!$G$5:$G$1004,Lançamentos!$E$5:$E$1004,A185,Lançamentos!$C$5:$C$1004,"Entrada"))</f>
        <v/>
      </c>
      <c r="J185" s="33" t="str">
        <f aca="false">IF(A185="","",IF(OR(G185="Em produção",G185="Entregue"),MAX(H185-I185,0),0))</f>
        <v/>
      </c>
      <c r="K185" s="33" t="str">
        <f aca="false">IF(A185="","",SUMIFS(Lançamentos!$G$5:$G$1004,Lançamentos!$E$5:$E$1004,A185,Lançamentos!$C$5:$C$1004,"Saída"))</f>
        <v/>
      </c>
      <c r="L185" s="33" t="str">
        <f aca="false">IF(A185="","",I185-K185)</f>
        <v/>
      </c>
      <c r="M185" s="28"/>
      <c r="N185" s="4"/>
    </row>
    <row r="186" customFormat="false" ht="15" hidden="false" customHeight="false" outlineLevel="0" collapsed="false">
      <c r="A186" s="4"/>
      <c r="B186" s="4"/>
      <c r="C186" s="4"/>
      <c r="D186" s="4"/>
      <c r="E186" s="26"/>
      <c r="F186" s="26"/>
      <c r="G186" s="32"/>
      <c r="H186" s="28"/>
      <c r="I186" s="33" t="str">
        <f aca="false">IF(A186="","",SUMIFS(Lançamentos!$G$5:$G$1004,Lançamentos!$E$5:$E$1004,A186,Lançamentos!$C$5:$C$1004,"Entrada"))</f>
        <v/>
      </c>
      <c r="J186" s="33" t="str">
        <f aca="false">IF(A186="","",IF(OR(G186="Em produção",G186="Entregue"),MAX(H186-I186,0),0))</f>
        <v/>
      </c>
      <c r="K186" s="33" t="str">
        <f aca="false">IF(A186="","",SUMIFS(Lançamentos!$G$5:$G$1004,Lançamentos!$E$5:$E$1004,A186,Lançamentos!$C$5:$C$1004,"Saída"))</f>
        <v/>
      </c>
      <c r="L186" s="33" t="str">
        <f aca="false">IF(A186="","",I186-K186)</f>
        <v/>
      </c>
      <c r="M186" s="28"/>
      <c r="N186" s="4"/>
    </row>
    <row r="187" customFormat="false" ht="15" hidden="false" customHeight="false" outlineLevel="0" collapsed="false">
      <c r="A187" s="4"/>
      <c r="B187" s="4"/>
      <c r="C187" s="4"/>
      <c r="D187" s="4"/>
      <c r="E187" s="26"/>
      <c r="F187" s="26"/>
      <c r="G187" s="32"/>
      <c r="H187" s="28"/>
      <c r="I187" s="33" t="str">
        <f aca="false">IF(A187="","",SUMIFS(Lançamentos!$G$5:$G$1004,Lançamentos!$E$5:$E$1004,A187,Lançamentos!$C$5:$C$1004,"Entrada"))</f>
        <v/>
      </c>
      <c r="J187" s="33" t="str">
        <f aca="false">IF(A187="","",IF(OR(G187="Em produção",G187="Entregue"),MAX(H187-I187,0),0))</f>
        <v/>
      </c>
      <c r="K187" s="33" t="str">
        <f aca="false">IF(A187="","",SUMIFS(Lançamentos!$G$5:$G$1004,Lançamentos!$E$5:$E$1004,A187,Lançamentos!$C$5:$C$1004,"Saída"))</f>
        <v/>
      </c>
      <c r="L187" s="33" t="str">
        <f aca="false">IF(A187="","",I187-K187)</f>
        <v/>
      </c>
      <c r="M187" s="28"/>
      <c r="N187" s="4"/>
    </row>
    <row r="188" customFormat="false" ht="15" hidden="false" customHeight="false" outlineLevel="0" collapsed="false">
      <c r="A188" s="4"/>
      <c r="B188" s="4"/>
      <c r="C188" s="4"/>
      <c r="D188" s="4"/>
      <c r="E188" s="26"/>
      <c r="F188" s="26"/>
      <c r="G188" s="32"/>
      <c r="H188" s="28"/>
      <c r="I188" s="33" t="str">
        <f aca="false">IF(A188="","",SUMIFS(Lançamentos!$G$5:$G$1004,Lançamentos!$E$5:$E$1004,A188,Lançamentos!$C$5:$C$1004,"Entrada"))</f>
        <v/>
      </c>
      <c r="J188" s="33" t="str">
        <f aca="false">IF(A188="","",IF(OR(G188="Em produção",G188="Entregue"),MAX(H188-I188,0),0))</f>
        <v/>
      </c>
      <c r="K188" s="33" t="str">
        <f aca="false">IF(A188="","",SUMIFS(Lançamentos!$G$5:$G$1004,Lançamentos!$E$5:$E$1004,A188,Lançamentos!$C$5:$C$1004,"Saída"))</f>
        <v/>
      </c>
      <c r="L188" s="33" t="str">
        <f aca="false">IF(A188="","",I188-K188)</f>
        <v/>
      </c>
      <c r="M188" s="28"/>
      <c r="N188" s="4"/>
    </row>
    <row r="189" customFormat="false" ht="15" hidden="false" customHeight="false" outlineLevel="0" collapsed="false">
      <c r="A189" s="4"/>
      <c r="B189" s="4"/>
      <c r="C189" s="4"/>
      <c r="D189" s="4"/>
      <c r="E189" s="26"/>
      <c r="F189" s="26"/>
      <c r="G189" s="32"/>
      <c r="H189" s="28"/>
      <c r="I189" s="33" t="str">
        <f aca="false">IF(A189="","",SUMIFS(Lançamentos!$G$5:$G$1004,Lançamentos!$E$5:$E$1004,A189,Lançamentos!$C$5:$C$1004,"Entrada"))</f>
        <v/>
      </c>
      <c r="J189" s="33" t="str">
        <f aca="false">IF(A189="","",IF(OR(G189="Em produção",G189="Entregue"),MAX(H189-I189,0),0))</f>
        <v/>
      </c>
      <c r="K189" s="33" t="str">
        <f aca="false">IF(A189="","",SUMIFS(Lançamentos!$G$5:$G$1004,Lançamentos!$E$5:$E$1004,A189,Lançamentos!$C$5:$C$1004,"Saída"))</f>
        <v/>
      </c>
      <c r="L189" s="33" t="str">
        <f aca="false">IF(A189="","",I189-K189)</f>
        <v/>
      </c>
      <c r="M189" s="28"/>
      <c r="N189" s="4"/>
    </row>
    <row r="190" customFormat="false" ht="15" hidden="false" customHeight="false" outlineLevel="0" collapsed="false">
      <c r="A190" s="4"/>
      <c r="B190" s="4"/>
      <c r="C190" s="4"/>
      <c r="D190" s="4"/>
      <c r="E190" s="26"/>
      <c r="F190" s="26"/>
      <c r="G190" s="32"/>
      <c r="H190" s="28"/>
      <c r="I190" s="33" t="str">
        <f aca="false">IF(A190="","",SUMIFS(Lançamentos!$G$5:$G$1004,Lançamentos!$E$5:$E$1004,A190,Lançamentos!$C$5:$C$1004,"Entrada"))</f>
        <v/>
      </c>
      <c r="J190" s="33" t="str">
        <f aca="false">IF(A190="","",IF(OR(G190="Em produção",G190="Entregue"),MAX(H190-I190,0),0))</f>
        <v/>
      </c>
      <c r="K190" s="33" t="str">
        <f aca="false">IF(A190="","",SUMIFS(Lançamentos!$G$5:$G$1004,Lançamentos!$E$5:$E$1004,A190,Lançamentos!$C$5:$C$1004,"Saída"))</f>
        <v/>
      </c>
      <c r="L190" s="33" t="str">
        <f aca="false">IF(A190="","",I190-K190)</f>
        <v/>
      </c>
      <c r="M190" s="28"/>
      <c r="N190" s="4"/>
    </row>
    <row r="191" customFormat="false" ht="15" hidden="false" customHeight="false" outlineLevel="0" collapsed="false">
      <c r="A191" s="4"/>
      <c r="B191" s="4"/>
      <c r="C191" s="4"/>
      <c r="D191" s="4"/>
      <c r="E191" s="26"/>
      <c r="F191" s="26"/>
      <c r="G191" s="32"/>
      <c r="H191" s="28"/>
      <c r="I191" s="33" t="str">
        <f aca="false">IF(A191="","",SUMIFS(Lançamentos!$G$5:$G$1004,Lançamentos!$E$5:$E$1004,A191,Lançamentos!$C$5:$C$1004,"Entrada"))</f>
        <v/>
      </c>
      <c r="J191" s="33" t="str">
        <f aca="false">IF(A191="","",IF(OR(G191="Em produção",G191="Entregue"),MAX(H191-I191,0),0))</f>
        <v/>
      </c>
      <c r="K191" s="33" t="str">
        <f aca="false">IF(A191="","",SUMIFS(Lançamentos!$G$5:$G$1004,Lançamentos!$E$5:$E$1004,A191,Lançamentos!$C$5:$C$1004,"Saída"))</f>
        <v/>
      </c>
      <c r="L191" s="33" t="str">
        <f aca="false">IF(A191="","",I191-K191)</f>
        <v/>
      </c>
      <c r="M191" s="28"/>
      <c r="N191" s="4"/>
    </row>
    <row r="192" customFormat="false" ht="15" hidden="false" customHeight="false" outlineLevel="0" collapsed="false">
      <c r="A192" s="4"/>
      <c r="B192" s="4"/>
      <c r="C192" s="4"/>
      <c r="D192" s="4"/>
      <c r="E192" s="26"/>
      <c r="F192" s="26"/>
      <c r="G192" s="32"/>
      <c r="H192" s="28"/>
      <c r="I192" s="33" t="str">
        <f aca="false">IF(A192="","",SUMIFS(Lançamentos!$G$5:$G$1004,Lançamentos!$E$5:$E$1004,A192,Lançamentos!$C$5:$C$1004,"Entrada"))</f>
        <v/>
      </c>
      <c r="J192" s="33" t="str">
        <f aca="false">IF(A192="","",IF(OR(G192="Em produção",G192="Entregue"),MAX(H192-I192,0),0))</f>
        <v/>
      </c>
      <c r="K192" s="33" t="str">
        <f aca="false">IF(A192="","",SUMIFS(Lançamentos!$G$5:$G$1004,Lançamentos!$E$5:$E$1004,A192,Lançamentos!$C$5:$C$1004,"Saída"))</f>
        <v/>
      </c>
      <c r="L192" s="33" t="str">
        <f aca="false">IF(A192="","",I192-K192)</f>
        <v/>
      </c>
      <c r="M192" s="28"/>
      <c r="N192" s="4"/>
    </row>
    <row r="193" customFormat="false" ht="15" hidden="false" customHeight="false" outlineLevel="0" collapsed="false">
      <c r="A193" s="4"/>
      <c r="B193" s="4"/>
      <c r="C193" s="4"/>
      <c r="D193" s="4"/>
      <c r="E193" s="26"/>
      <c r="F193" s="26"/>
      <c r="G193" s="32"/>
      <c r="H193" s="28"/>
      <c r="I193" s="33" t="str">
        <f aca="false">IF(A193="","",SUMIFS(Lançamentos!$G$5:$G$1004,Lançamentos!$E$5:$E$1004,A193,Lançamentos!$C$5:$C$1004,"Entrada"))</f>
        <v/>
      </c>
      <c r="J193" s="33" t="str">
        <f aca="false">IF(A193="","",IF(OR(G193="Em produção",G193="Entregue"),MAX(H193-I193,0),0))</f>
        <v/>
      </c>
      <c r="K193" s="33" t="str">
        <f aca="false">IF(A193="","",SUMIFS(Lançamentos!$G$5:$G$1004,Lançamentos!$E$5:$E$1004,A193,Lançamentos!$C$5:$C$1004,"Saída"))</f>
        <v/>
      </c>
      <c r="L193" s="33" t="str">
        <f aca="false">IF(A193="","",I193-K193)</f>
        <v/>
      </c>
      <c r="M193" s="28"/>
      <c r="N193" s="4"/>
    </row>
    <row r="194" customFormat="false" ht="15" hidden="false" customHeight="false" outlineLevel="0" collapsed="false">
      <c r="A194" s="4"/>
      <c r="B194" s="4"/>
      <c r="C194" s="4"/>
      <c r="D194" s="4"/>
      <c r="E194" s="26"/>
      <c r="F194" s="26"/>
      <c r="G194" s="32"/>
      <c r="H194" s="28"/>
      <c r="I194" s="33" t="str">
        <f aca="false">IF(A194="","",SUMIFS(Lançamentos!$G$5:$G$1004,Lançamentos!$E$5:$E$1004,A194,Lançamentos!$C$5:$C$1004,"Entrada"))</f>
        <v/>
      </c>
      <c r="J194" s="33" t="str">
        <f aca="false">IF(A194="","",IF(OR(G194="Em produção",G194="Entregue"),MAX(H194-I194,0),0))</f>
        <v/>
      </c>
      <c r="K194" s="33" t="str">
        <f aca="false">IF(A194="","",SUMIFS(Lançamentos!$G$5:$G$1004,Lançamentos!$E$5:$E$1004,A194,Lançamentos!$C$5:$C$1004,"Saída"))</f>
        <v/>
      </c>
      <c r="L194" s="33" t="str">
        <f aca="false">IF(A194="","",I194-K194)</f>
        <v/>
      </c>
      <c r="M194" s="28"/>
      <c r="N194" s="4"/>
    </row>
    <row r="195" customFormat="false" ht="15" hidden="false" customHeight="false" outlineLevel="0" collapsed="false">
      <c r="A195" s="4"/>
      <c r="B195" s="4"/>
      <c r="C195" s="4"/>
      <c r="D195" s="4"/>
      <c r="E195" s="26"/>
      <c r="F195" s="26"/>
      <c r="G195" s="32"/>
      <c r="H195" s="28"/>
      <c r="I195" s="33" t="str">
        <f aca="false">IF(A195="","",SUMIFS(Lançamentos!$G$5:$G$1004,Lançamentos!$E$5:$E$1004,A195,Lançamentos!$C$5:$C$1004,"Entrada"))</f>
        <v/>
      </c>
      <c r="J195" s="33" t="str">
        <f aca="false">IF(A195="","",IF(OR(G195="Em produção",G195="Entregue"),MAX(H195-I195,0),0))</f>
        <v/>
      </c>
      <c r="K195" s="33" t="str">
        <f aca="false">IF(A195="","",SUMIFS(Lançamentos!$G$5:$G$1004,Lançamentos!$E$5:$E$1004,A195,Lançamentos!$C$5:$C$1004,"Saída"))</f>
        <v/>
      </c>
      <c r="L195" s="33" t="str">
        <f aca="false">IF(A195="","",I195-K195)</f>
        <v/>
      </c>
      <c r="M195" s="28"/>
      <c r="N195" s="4"/>
    </row>
    <row r="196" customFormat="false" ht="15" hidden="false" customHeight="false" outlineLevel="0" collapsed="false">
      <c r="A196" s="4"/>
      <c r="B196" s="4"/>
      <c r="C196" s="4"/>
      <c r="D196" s="4"/>
      <c r="E196" s="26"/>
      <c r="F196" s="26"/>
      <c r="G196" s="32"/>
      <c r="H196" s="28"/>
      <c r="I196" s="33" t="str">
        <f aca="false">IF(A196="","",SUMIFS(Lançamentos!$G$5:$G$1004,Lançamentos!$E$5:$E$1004,A196,Lançamentos!$C$5:$C$1004,"Entrada"))</f>
        <v/>
      </c>
      <c r="J196" s="33" t="str">
        <f aca="false">IF(A196="","",IF(OR(G196="Em produção",G196="Entregue"),MAX(H196-I196,0),0))</f>
        <v/>
      </c>
      <c r="K196" s="33" t="str">
        <f aca="false">IF(A196="","",SUMIFS(Lançamentos!$G$5:$G$1004,Lançamentos!$E$5:$E$1004,A196,Lançamentos!$C$5:$C$1004,"Saída"))</f>
        <v/>
      </c>
      <c r="L196" s="33" t="str">
        <f aca="false">IF(A196="","",I196-K196)</f>
        <v/>
      </c>
      <c r="M196" s="28"/>
      <c r="N196" s="4"/>
    </row>
    <row r="197" customFormat="false" ht="15" hidden="false" customHeight="false" outlineLevel="0" collapsed="false">
      <c r="A197" s="4"/>
      <c r="B197" s="4"/>
      <c r="C197" s="4"/>
      <c r="D197" s="4"/>
      <c r="E197" s="26"/>
      <c r="F197" s="26"/>
      <c r="G197" s="32"/>
      <c r="H197" s="28"/>
      <c r="I197" s="33" t="str">
        <f aca="false">IF(A197="","",SUMIFS(Lançamentos!$G$5:$G$1004,Lançamentos!$E$5:$E$1004,A197,Lançamentos!$C$5:$C$1004,"Entrada"))</f>
        <v/>
      </c>
      <c r="J197" s="33" t="str">
        <f aca="false">IF(A197="","",IF(OR(G197="Em produção",G197="Entregue"),MAX(H197-I197,0),0))</f>
        <v/>
      </c>
      <c r="K197" s="33" t="str">
        <f aca="false">IF(A197="","",SUMIFS(Lançamentos!$G$5:$G$1004,Lançamentos!$E$5:$E$1004,A197,Lançamentos!$C$5:$C$1004,"Saída"))</f>
        <v/>
      </c>
      <c r="L197" s="33" t="str">
        <f aca="false">IF(A197="","",I197-K197)</f>
        <v/>
      </c>
      <c r="M197" s="28"/>
      <c r="N197" s="4"/>
    </row>
    <row r="198" customFormat="false" ht="15" hidden="false" customHeight="false" outlineLevel="0" collapsed="false">
      <c r="A198" s="4"/>
      <c r="B198" s="4"/>
      <c r="C198" s="4"/>
      <c r="D198" s="4"/>
      <c r="E198" s="26"/>
      <c r="F198" s="26"/>
      <c r="G198" s="32"/>
      <c r="H198" s="28"/>
      <c r="I198" s="33" t="str">
        <f aca="false">IF(A198="","",SUMIFS(Lançamentos!$G$5:$G$1004,Lançamentos!$E$5:$E$1004,A198,Lançamentos!$C$5:$C$1004,"Entrada"))</f>
        <v/>
      </c>
      <c r="J198" s="33" t="str">
        <f aca="false">IF(A198="","",IF(OR(G198="Em produção",G198="Entregue"),MAX(H198-I198,0),0))</f>
        <v/>
      </c>
      <c r="K198" s="33" t="str">
        <f aca="false">IF(A198="","",SUMIFS(Lançamentos!$G$5:$G$1004,Lançamentos!$E$5:$E$1004,A198,Lançamentos!$C$5:$C$1004,"Saída"))</f>
        <v/>
      </c>
      <c r="L198" s="33" t="str">
        <f aca="false">IF(A198="","",I198-K198)</f>
        <v/>
      </c>
      <c r="M198" s="28"/>
      <c r="N198" s="4"/>
    </row>
    <row r="199" customFormat="false" ht="15" hidden="false" customHeight="false" outlineLevel="0" collapsed="false">
      <c r="A199" s="4"/>
      <c r="B199" s="4"/>
      <c r="C199" s="4"/>
      <c r="D199" s="4"/>
      <c r="E199" s="26"/>
      <c r="F199" s="26"/>
      <c r="G199" s="32"/>
      <c r="H199" s="28"/>
      <c r="I199" s="33" t="str">
        <f aca="false">IF(A199="","",SUMIFS(Lançamentos!$G$5:$G$1004,Lançamentos!$E$5:$E$1004,A199,Lançamentos!$C$5:$C$1004,"Entrada"))</f>
        <v/>
      </c>
      <c r="J199" s="33" t="str">
        <f aca="false">IF(A199="","",IF(OR(G199="Em produção",G199="Entregue"),MAX(H199-I199,0),0))</f>
        <v/>
      </c>
      <c r="K199" s="33" t="str">
        <f aca="false">IF(A199="","",SUMIFS(Lançamentos!$G$5:$G$1004,Lançamentos!$E$5:$E$1004,A199,Lançamentos!$C$5:$C$1004,"Saída"))</f>
        <v/>
      </c>
      <c r="L199" s="33" t="str">
        <f aca="false">IF(A199="","",I199-K199)</f>
        <v/>
      </c>
      <c r="M199" s="28"/>
      <c r="N199" s="4"/>
    </row>
    <row r="200" customFormat="false" ht="15" hidden="false" customHeight="false" outlineLevel="0" collapsed="false">
      <c r="A200" s="4"/>
      <c r="B200" s="4"/>
      <c r="C200" s="4"/>
      <c r="D200" s="4"/>
      <c r="E200" s="26"/>
      <c r="F200" s="26"/>
      <c r="G200" s="32"/>
      <c r="H200" s="28"/>
      <c r="I200" s="33" t="str">
        <f aca="false">IF(A200="","",SUMIFS(Lançamentos!$G$5:$G$1004,Lançamentos!$E$5:$E$1004,A200,Lançamentos!$C$5:$C$1004,"Entrada"))</f>
        <v/>
      </c>
      <c r="J200" s="33" t="str">
        <f aca="false">IF(A200="","",IF(OR(G200="Em produção",G200="Entregue"),MAX(H200-I200,0),0))</f>
        <v/>
      </c>
      <c r="K200" s="33" t="str">
        <f aca="false">IF(A200="","",SUMIFS(Lançamentos!$G$5:$G$1004,Lançamentos!$E$5:$E$1004,A200,Lançamentos!$C$5:$C$1004,"Saída"))</f>
        <v/>
      </c>
      <c r="L200" s="33" t="str">
        <f aca="false">IF(A200="","",I200-K200)</f>
        <v/>
      </c>
      <c r="M200" s="28"/>
      <c r="N200" s="4"/>
    </row>
    <row r="201" customFormat="false" ht="15" hidden="false" customHeight="false" outlineLevel="0" collapsed="false">
      <c r="A201" s="4"/>
      <c r="B201" s="4"/>
      <c r="C201" s="4"/>
      <c r="D201" s="4"/>
      <c r="E201" s="26"/>
      <c r="F201" s="26"/>
      <c r="G201" s="32"/>
      <c r="H201" s="28"/>
      <c r="I201" s="33" t="str">
        <f aca="false">IF(A201="","",SUMIFS(Lançamentos!$G$5:$G$1004,Lançamentos!$E$5:$E$1004,A201,Lançamentos!$C$5:$C$1004,"Entrada"))</f>
        <v/>
      </c>
      <c r="J201" s="33" t="str">
        <f aca="false">IF(A201="","",IF(OR(G201="Em produção",G201="Entregue"),MAX(H201-I201,0),0))</f>
        <v/>
      </c>
      <c r="K201" s="33" t="str">
        <f aca="false">IF(A201="","",SUMIFS(Lançamentos!$G$5:$G$1004,Lançamentos!$E$5:$E$1004,A201,Lançamentos!$C$5:$C$1004,"Saída"))</f>
        <v/>
      </c>
      <c r="L201" s="33" t="str">
        <f aca="false">IF(A201="","",I201-K201)</f>
        <v/>
      </c>
      <c r="M201" s="28"/>
      <c r="N201" s="4"/>
    </row>
    <row r="202" customFormat="false" ht="15" hidden="false" customHeight="false" outlineLevel="0" collapsed="false">
      <c r="A202" s="4"/>
      <c r="B202" s="4"/>
      <c r="C202" s="4"/>
      <c r="D202" s="4"/>
      <c r="E202" s="26"/>
      <c r="F202" s="26"/>
      <c r="G202" s="32"/>
      <c r="H202" s="28"/>
      <c r="I202" s="33" t="str">
        <f aca="false">IF(A202="","",SUMIFS(Lançamentos!$G$5:$G$1004,Lançamentos!$E$5:$E$1004,A202,Lançamentos!$C$5:$C$1004,"Entrada"))</f>
        <v/>
      </c>
      <c r="J202" s="33" t="str">
        <f aca="false">IF(A202="","",IF(OR(G202="Em produção",G202="Entregue"),MAX(H202-I202,0),0))</f>
        <v/>
      </c>
      <c r="K202" s="33" t="str">
        <f aca="false">IF(A202="","",SUMIFS(Lançamentos!$G$5:$G$1004,Lançamentos!$E$5:$E$1004,A202,Lançamentos!$C$5:$C$1004,"Saída"))</f>
        <v/>
      </c>
      <c r="L202" s="33" t="str">
        <f aca="false">IF(A202="","",I202-K202)</f>
        <v/>
      </c>
      <c r="M202" s="28"/>
      <c r="N202" s="4"/>
    </row>
    <row r="203" customFormat="false" ht="15" hidden="false" customHeight="false" outlineLevel="0" collapsed="false">
      <c r="A203" s="4"/>
      <c r="B203" s="4"/>
      <c r="C203" s="4"/>
      <c r="D203" s="4"/>
      <c r="E203" s="26"/>
      <c r="F203" s="26"/>
      <c r="G203" s="32"/>
      <c r="H203" s="28"/>
      <c r="I203" s="33" t="str">
        <f aca="false">IF(A203="","",SUMIFS(Lançamentos!$G$5:$G$1004,Lançamentos!$E$5:$E$1004,A203,Lançamentos!$C$5:$C$1004,"Entrada"))</f>
        <v/>
      </c>
      <c r="J203" s="33" t="str">
        <f aca="false">IF(A203="","",IF(OR(G203="Em produção",G203="Entregue"),MAX(H203-I203,0),0))</f>
        <v/>
      </c>
      <c r="K203" s="33" t="str">
        <f aca="false">IF(A203="","",SUMIFS(Lançamentos!$G$5:$G$1004,Lançamentos!$E$5:$E$1004,A203,Lançamentos!$C$5:$C$1004,"Saída"))</f>
        <v/>
      </c>
      <c r="L203" s="33" t="str">
        <f aca="false">IF(A203="","",I203-K203)</f>
        <v/>
      </c>
      <c r="M203" s="28"/>
      <c r="N203" s="4"/>
    </row>
    <row r="204" customFormat="false" ht="15" hidden="false" customHeight="false" outlineLevel="0" collapsed="false">
      <c r="A204" s="4"/>
      <c r="B204" s="4"/>
      <c r="C204" s="4"/>
      <c r="D204" s="4"/>
      <c r="E204" s="26"/>
      <c r="F204" s="26"/>
      <c r="G204" s="32"/>
      <c r="H204" s="28"/>
      <c r="I204" s="33" t="str">
        <f aca="false">IF(A204="","",SUMIFS(Lançamentos!$G$5:$G$1004,Lançamentos!$E$5:$E$1004,A204,Lançamentos!$C$5:$C$1004,"Entrada"))</f>
        <v/>
      </c>
      <c r="J204" s="33" t="str">
        <f aca="false">IF(A204="","",IF(OR(G204="Em produção",G204="Entregue"),MAX(H204-I204,0),0))</f>
        <v/>
      </c>
      <c r="K204" s="33" t="str">
        <f aca="false">IF(A204="","",SUMIFS(Lançamentos!$G$5:$G$1004,Lançamentos!$E$5:$E$1004,A204,Lançamentos!$C$5:$C$1004,"Saída"))</f>
        <v/>
      </c>
      <c r="L204" s="33" t="str">
        <f aca="false">IF(A204="","",I204-K204)</f>
        <v/>
      </c>
      <c r="M204" s="28"/>
      <c r="N204" s="4"/>
    </row>
  </sheetData>
  <autoFilter ref="A4:N204"/>
  <conditionalFormatting sqref="A5:N204">
    <cfRule type="expression" priority="2" aboveAverage="0" equalAverage="0" bottom="0" percent="0" rank="0" text="" dxfId="15">
      <formula>$G5="Cancelado"</formula>
    </cfRule>
  </conditionalFormatting>
  <conditionalFormatting sqref="G5:G204">
    <cfRule type="expression" priority="3" aboveAverage="0" equalAverage="0" bottom="0" percent="0" rank="0" text="" dxfId="16">
      <formula>$G5="Entregue"</formula>
    </cfRule>
    <cfRule type="expression" priority="4" aboveAverage="0" equalAverage="0" bottom="0" percent="0" rank="0" text="" dxfId="17">
      <formula>$G5="Em produção"</formula>
    </cfRule>
  </conditionalFormatting>
  <conditionalFormatting sqref="J5:J204">
    <cfRule type="expression" priority="5" aboveAverage="0" equalAverage="0" bottom="0" percent="0" rank="0" text="" dxfId="18">
      <formula>AND(ISNUMBER($J5),$J5&gt;0)</formula>
    </cfRule>
  </conditionalFormatting>
  <dataValidations count="2">
    <dataValidation allowBlank="true" errorStyle="stop" operator="between" showDropDown="false" showErrorMessage="false" showInputMessage="false" sqref="C5:C204" type="list">
      <formula1>TiposProjeto</formula1>
      <formula2>0</formula2>
    </dataValidation>
    <dataValidation allowBlank="true" errorStyle="stop" operator="between" showDropDown="false" showErrorMessage="false" showInputMessage="false" sqref="G5:G204" type="list">
      <formula1>StatusProjeto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F8C"/>
    <pageSetUpPr fitToPage="tru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9" min="8" style="0" width="16"/>
    <col collapsed="false" customWidth="true" hidden="false" outlineLevel="0" max="10" min="10" style="0" width="96"/>
  </cols>
  <sheetData>
    <row r="1" customFormat="false" ht="22.0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4" customFormat="false" ht="15" hidden="false" customHeight="false" outlineLevel="0" collapsed="false">
      <c r="A4" s="34" t="s">
        <v>94</v>
      </c>
      <c r="B4" s="35" t="n">
        <v>5.5</v>
      </c>
      <c r="G4" s="30" t="s">
        <v>95</v>
      </c>
      <c r="H4" s="31" t="n">
        <f aca="false">SUM(H8:H37)</f>
        <v>339.190833333333</v>
      </c>
    </row>
    <row r="5" customFormat="false" ht="15" hidden="false" customHeight="false" outlineLevel="0" collapsed="false">
      <c r="A5" s="34" t="s">
        <v>96</v>
      </c>
      <c r="B5" s="36" t="n">
        <v>0.035</v>
      </c>
      <c r="G5" s="30" t="s">
        <v>97</v>
      </c>
      <c r="H5" s="31" t="n">
        <f aca="false">SUM(I8:I37)</f>
        <v>4070.29</v>
      </c>
    </row>
    <row r="7" customFormat="false" ht="30" hidden="false" customHeight="true" outlineLevel="0" collapsed="false">
      <c r="A7" s="21" t="s">
        <v>98</v>
      </c>
      <c r="B7" s="21" t="s">
        <v>58</v>
      </c>
      <c r="C7" s="21" t="s">
        <v>99</v>
      </c>
      <c r="D7" s="21" t="s">
        <v>100</v>
      </c>
      <c r="E7" s="21" t="s">
        <v>101</v>
      </c>
      <c r="F7" s="21" t="s">
        <v>102</v>
      </c>
      <c r="G7" s="21" t="s">
        <v>103</v>
      </c>
      <c r="H7" s="21" t="s">
        <v>104</v>
      </c>
      <c r="I7" s="21" t="s">
        <v>105</v>
      </c>
      <c r="J7" s="21" t="s">
        <v>106</v>
      </c>
    </row>
    <row r="8" customFormat="false" ht="15" hidden="false" customHeight="false" outlineLevel="0" collapsed="false">
      <c r="A8" s="4" t="s">
        <v>107</v>
      </c>
      <c r="B8" s="4" t="s">
        <v>69</v>
      </c>
      <c r="C8" s="32" t="s">
        <v>108</v>
      </c>
      <c r="D8" s="37" t="n">
        <v>20</v>
      </c>
      <c r="E8" s="32" t="s">
        <v>109</v>
      </c>
      <c r="F8" s="32"/>
      <c r="G8" s="32" t="s">
        <v>110</v>
      </c>
      <c r="H8" s="33" t="n">
        <f aca="false">IF(OR(A8="",G8&lt;&gt;"Sim"),0,IF(C8="US$",D8*$B$4*(1+$B$5),D8)/IF(E8="Anual",12,1))</f>
        <v>113.85</v>
      </c>
      <c r="I8" s="33" t="n">
        <f aca="false">H8*12</f>
        <v>1366.2</v>
      </c>
      <c r="J8" s="4" t="s">
        <v>111</v>
      </c>
    </row>
    <row r="9" customFormat="false" ht="15" hidden="false" customHeight="false" outlineLevel="0" collapsed="false">
      <c r="A9" s="4" t="s">
        <v>112</v>
      </c>
      <c r="B9" s="4" t="s">
        <v>69</v>
      </c>
      <c r="C9" s="32" t="s">
        <v>108</v>
      </c>
      <c r="D9" s="37" t="n">
        <v>20</v>
      </c>
      <c r="E9" s="32" t="s">
        <v>109</v>
      </c>
      <c r="F9" s="32"/>
      <c r="G9" s="32" t="s">
        <v>113</v>
      </c>
      <c r="H9" s="33" t="n">
        <f aca="false">IF(OR(A9="",G9&lt;&gt;"Sim"),0,IF(C9="US$",D9*$B$4*(1+$B$5),D9)/IF(E9="Anual",12,1))</f>
        <v>0</v>
      </c>
      <c r="I9" s="33" t="n">
        <f aca="false">H9*12</f>
        <v>0</v>
      </c>
      <c r="J9" s="4" t="s">
        <v>114</v>
      </c>
    </row>
    <row r="10" customFormat="false" ht="15" hidden="false" customHeight="false" outlineLevel="0" collapsed="false">
      <c r="A10" s="4" t="s">
        <v>115</v>
      </c>
      <c r="B10" s="4" t="s">
        <v>69</v>
      </c>
      <c r="C10" s="32" t="s">
        <v>108</v>
      </c>
      <c r="D10" s="37"/>
      <c r="E10" s="32" t="s">
        <v>109</v>
      </c>
      <c r="F10" s="32"/>
      <c r="G10" s="32" t="s">
        <v>110</v>
      </c>
      <c r="H10" s="33" t="n">
        <f aca="false">IF(OR(A10="",G10&lt;&gt;"Sim"),0,IF(C10="US$",D10*$B$4*(1+$B$5),D10)/IF(E10="Anual",12,1))</f>
        <v>0</v>
      </c>
      <c r="I10" s="33" t="n">
        <f aca="false">H10*12</f>
        <v>0</v>
      </c>
      <c r="J10" s="4" t="s">
        <v>116</v>
      </c>
    </row>
    <row r="11" customFormat="false" ht="15" hidden="false" customHeight="false" outlineLevel="0" collapsed="false">
      <c r="A11" s="4" t="s">
        <v>117</v>
      </c>
      <c r="B11" s="4" t="s">
        <v>118</v>
      </c>
      <c r="C11" s="32" t="s">
        <v>119</v>
      </c>
      <c r="D11" s="37" t="n">
        <v>40</v>
      </c>
      <c r="E11" s="32" t="s">
        <v>120</v>
      </c>
      <c r="F11" s="32"/>
      <c r="G11" s="32" t="s">
        <v>110</v>
      </c>
      <c r="H11" s="33" t="n">
        <f aca="false">IF(OR(A11="",G11&lt;&gt;"Sim"),0,IF(C11="US$",D11*$B$4*(1+$B$5),D11)/IF(E11="Anual",12,1))</f>
        <v>3.33333333333333</v>
      </c>
      <c r="I11" s="33" t="n">
        <f aca="false">H11*12</f>
        <v>40</v>
      </c>
      <c r="J11" s="4" t="s">
        <v>121</v>
      </c>
    </row>
    <row r="12" customFormat="false" ht="15" hidden="false" customHeight="false" outlineLevel="0" collapsed="false">
      <c r="A12" s="4" t="s">
        <v>122</v>
      </c>
      <c r="B12" s="4" t="s">
        <v>123</v>
      </c>
      <c r="C12" s="32" t="s">
        <v>108</v>
      </c>
      <c r="D12" s="37" t="n">
        <v>0</v>
      </c>
      <c r="E12" s="32" t="s">
        <v>109</v>
      </c>
      <c r="F12" s="32"/>
      <c r="G12" s="32" t="s">
        <v>110</v>
      </c>
      <c r="H12" s="33" t="n">
        <f aca="false">IF(OR(A12="",G12&lt;&gt;"Sim"),0,IF(C12="US$",D12*$B$4*(1+$B$5),D12)/IF(E12="Anual",12,1))</f>
        <v>0</v>
      </c>
      <c r="I12" s="33" t="n">
        <f aca="false">H12*12</f>
        <v>0</v>
      </c>
      <c r="J12" s="4" t="s">
        <v>124</v>
      </c>
    </row>
    <row r="13" customFormat="false" ht="15" hidden="false" customHeight="false" outlineLevel="0" collapsed="false">
      <c r="A13" s="4" t="s">
        <v>125</v>
      </c>
      <c r="B13" s="4" t="s">
        <v>126</v>
      </c>
      <c r="C13" s="32" t="s">
        <v>108</v>
      </c>
      <c r="D13" s="37" t="n">
        <v>39</v>
      </c>
      <c r="E13" s="32" t="s">
        <v>109</v>
      </c>
      <c r="F13" s="32"/>
      <c r="G13" s="32" t="s">
        <v>110</v>
      </c>
      <c r="H13" s="33" t="n">
        <f aca="false">IF(OR(A13="",G13&lt;&gt;"Sim"),0,IF(C13="US$",D13*$B$4*(1+$B$5),D13)/IF(E13="Anual",12,1))</f>
        <v>222.0075</v>
      </c>
      <c r="I13" s="33" t="n">
        <f aca="false">H13*12</f>
        <v>2664.09</v>
      </c>
      <c r="J13" s="4" t="s">
        <v>127</v>
      </c>
    </row>
    <row r="14" customFormat="false" ht="15" hidden="false" customHeight="false" outlineLevel="0" collapsed="false">
      <c r="A14" s="4" t="s">
        <v>128</v>
      </c>
      <c r="B14" s="4" t="s">
        <v>129</v>
      </c>
      <c r="C14" s="32" t="s">
        <v>119</v>
      </c>
      <c r="D14" s="37"/>
      <c r="E14" s="32" t="s">
        <v>109</v>
      </c>
      <c r="F14" s="32"/>
      <c r="G14" s="32" t="s">
        <v>113</v>
      </c>
      <c r="H14" s="33" t="n">
        <f aca="false">IF(OR(A14="",G14&lt;&gt;"Sim"),0,IF(C14="US$",D14*$B$4*(1+$B$5),D14)/IF(E14="Anual",12,1))</f>
        <v>0</v>
      </c>
      <c r="I14" s="33" t="n">
        <f aca="false">H14*12</f>
        <v>0</v>
      </c>
      <c r="J14" s="4" t="s">
        <v>130</v>
      </c>
    </row>
    <row r="15" customFormat="false" ht="15" hidden="false" customHeight="false" outlineLevel="0" collapsed="false">
      <c r="A15" s="4" t="s">
        <v>131</v>
      </c>
      <c r="B15" s="4" t="s">
        <v>132</v>
      </c>
      <c r="C15" s="32" t="s">
        <v>119</v>
      </c>
      <c r="D15" s="37"/>
      <c r="E15" s="32" t="s">
        <v>109</v>
      </c>
      <c r="F15" s="32"/>
      <c r="G15" s="32" t="s">
        <v>113</v>
      </c>
      <c r="H15" s="33" t="n">
        <f aca="false">IF(OR(A15="",G15&lt;&gt;"Sim"),0,IF(C15="US$",D15*$B$4*(1+$B$5),D15)/IF(E15="Anual",12,1))</f>
        <v>0</v>
      </c>
      <c r="I15" s="33" t="n">
        <f aca="false">H15*12</f>
        <v>0</v>
      </c>
      <c r="J15" s="4" t="s">
        <v>133</v>
      </c>
    </row>
    <row r="16" customFormat="false" ht="15" hidden="false" customHeight="false" outlineLevel="0" collapsed="false">
      <c r="A16" s="4" t="s">
        <v>134</v>
      </c>
      <c r="B16" s="4" t="s">
        <v>134</v>
      </c>
      <c r="C16" s="32" t="s">
        <v>119</v>
      </c>
      <c r="D16" s="37"/>
      <c r="E16" s="32" t="s">
        <v>109</v>
      </c>
      <c r="F16" s="32"/>
      <c r="G16" s="32" t="s">
        <v>113</v>
      </c>
      <c r="H16" s="33" t="n">
        <f aca="false">IF(OR(A16="",G16&lt;&gt;"Sim"),0,IF(C16="US$",D16*$B$4*(1+$B$5),D16)/IF(E16="Anual",12,1))</f>
        <v>0</v>
      </c>
      <c r="I16" s="33" t="n">
        <f aca="false">H16*12</f>
        <v>0</v>
      </c>
      <c r="J16" s="4" t="s">
        <v>135</v>
      </c>
    </row>
    <row r="17" customFormat="false" ht="15" hidden="false" customHeight="false" outlineLevel="0" collapsed="false">
      <c r="A17" s="4"/>
      <c r="B17" s="4"/>
      <c r="C17" s="32"/>
      <c r="D17" s="37"/>
      <c r="E17" s="32"/>
      <c r="F17" s="32"/>
      <c r="G17" s="32"/>
      <c r="H17" s="33" t="n">
        <f aca="false">IF(OR(A17="",G17&lt;&gt;"Sim"),0,IF(C17="US$",D17*$B$4*(1+$B$5),D17)/IF(E17="Anual",12,1))</f>
        <v>0</v>
      </c>
      <c r="I17" s="33" t="n">
        <f aca="false">H17*12</f>
        <v>0</v>
      </c>
      <c r="J17" s="4"/>
    </row>
    <row r="18" customFormat="false" ht="15" hidden="false" customHeight="false" outlineLevel="0" collapsed="false">
      <c r="A18" s="4"/>
      <c r="B18" s="4"/>
      <c r="C18" s="32"/>
      <c r="D18" s="37"/>
      <c r="E18" s="32"/>
      <c r="F18" s="32"/>
      <c r="G18" s="32"/>
      <c r="H18" s="33" t="n">
        <f aca="false">IF(OR(A18="",G18&lt;&gt;"Sim"),0,IF(C18="US$",D18*$B$4*(1+$B$5),D18)/IF(E18="Anual",12,1))</f>
        <v>0</v>
      </c>
      <c r="I18" s="33" t="n">
        <f aca="false">H18*12</f>
        <v>0</v>
      </c>
      <c r="J18" s="4"/>
    </row>
    <row r="19" customFormat="false" ht="15" hidden="false" customHeight="false" outlineLevel="0" collapsed="false">
      <c r="A19" s="4"/>
      <c r="B19" s="4"/>
      <c r="C19" s="32"/>
      <c r="D19" s="37"/>
      <c r="E19" s="32"/>
      <c r="F19" s="32"/>
      <c r="G19" s="32"/>
      <c r="H19" s="33" t="n">
        <f aca="false">IF(OR(A19="",G19&lt;&gt;"Sim"),0,IF(C19="US$",D19*$B$4*(1+$B$5),D19)/IF(E19="Anual",12,1))</f>
        <v>0</v>
      </c>
      <c r="I19" s="33" t="n">
        <f aca="false">H19*12</f>
        <v>0</v>
      </c>
      <c r="J19" s="4"/>
    </row>
    <row r="20" customFormat="false" ht="15" hidden="false" customHeight="false" outlineLevel="0" collapsed="false">
      <c r="A20" s="4"/>
      <c r="B20" s="4"/>
      <c r="C20" s="32"/>
      <c r="D20" s="37"/>
      <c r="E20" s="32"/>
      <c r="F20" s="32"/>
      <c r="G20" s="32"/>
      <c r="H20" s="33" t="n">
        <f aca="false">IF(OR(A20="",G20&lt;&gt;"Sim"),0,IF(C20="US$",D20*$B$4*(1+$B$5),D20)/IF(E20="Anual",12,1))</f>
        <v>0</v>
      </c>
      <c r="I20" s="33" t="n">
        <f aca="false">H20*12</f>
        <v>0</v>
      </c>
      <c r="J20" s="4"/>
    </row>
    <row r="21" customFormat="false" ht="15" hidden="false" customHeight="false" outlineLevel="0" collapsed="false">
      <c r="A21" s="4"/>
      <c r="B21" s="4"/>
      <c r="C21" s="32"/>
      <c r="D21" s="37"/>
      <c r="E21" s="32"/>
      <c r="F21" s="32"/>
      <c r="G21" s="32"/>
      <c r="H21" s="33" t="n">
        <f aca="false">IF(OR(A21="",G21&lt;&gt;"Sim"),0,IF(C21="US$",D21*$B$4*(1+$B$5),D21)/IF(E21="Anual",12,1))</f>
        <v>0</v>
      </c>
      <c r="I21" s="33" t="n">
        <f aca="false">H21*12</f>
        <v>0</v>
      </c>
      <c r="J21" s="4"/>
    </row>
    <row r="22" customFormat="false" ht="15" hidden="false" customHeight="false" outlineLevel="0" collapsed="false">
      <c r="A22" s="4"/>
      <c r="B22" s="4"/>
      <c r="C22" s="32"/>
      <c r="D22" s="37"/>
      <c r="E22" s="32"/>
      <c r="F22" s="32"/>
      <c r="G22" s="32"/>
      <c r="H22" s="33" t="n">
        <f aca="false">IF(OR(A22="",G22&lt;&gt;"Sim"),0,IF(C22="US$",D22*$B$4*(1+$B$5),D22)/IF(E22="Anual",12,1))</f>
        <v>0</v>
      </c>
      <c r="I22" s="33" t="n">
        <f aca="false">H22*12</f>
        <v>0</v>
      </c>
      <c r="J22" s="4"/>
    </row>
    <row r="23" customFormat="false" ht="15" hidden="false" customHeight="false" outlineLevel="0" collapsed="false">
      <c r="A23" s="4"/>
      <c r="B23" s="4"/>
      <c r="C23" s="32"/>
      <c r="D23" s="37"/>
      <c r="E23" s="32"/>
      <c r="F23" s="32"/>
      <c r="G23" s="32"/>
      <c r="H23" s="33" t="n">
        <f aca="false">IF(OR(A23="",G23&lt;&gt;"Sim"),0,IF(C23="US$",D23*$B$4*(1+$B$5),D23)/IF(E23="Anual",12,1))</f>
        <v>0</v>
      </c>
      <c r="I23" s="33" t="n">
        <f aca="false">H23*12</f>
        <v>0</v>
      </c>
      <c r="J23" s="4"/>
    </row>
    <row r="24" customFormat="false" ht="15" hidden="false" customHeight="false" outlineLevel="0" collapsed="false">
      <c r="A24" s="4"/>
      <c r="B24" s="4"/>
      <c r="C24" s="32"/>
      <c r="D24" s="37"/>
      <c r="E24" s="32"/>
      <c r="F24" s="32"/>
      <c r="G24" s="32"/>
      <c r="H24" s="33" t="n">
        <f aca="false">IF(OR(A24="",G24&lt;&gt;"Sim"),0,IF(C24="US$",D24*$B$4*(1+$B$5),D24)/IF(E24="Anual",12,1))</f>
        <v>0</v>
      </c>
      <c r="I24" s="33" t="n">
        <f aca="false">H24*12</f>
        <v>0</v>
      </c>
      <c r="J24" s="4"/>
    </row>
    <row r="25" customFormat="false" ht="15" hidden="false" customHeight="false" outlineLevel="0" collapsed="false">
      <c r="A25" s="4"/>
      <c r="B25" s="4"/>
      <c r="C25" s="32"/>
      <c r="D25" s="37"/>
      <c r="E25" s="32"/>
      <c r="F25" s="32"/>
      <c r="G25" s="32"/>
      <c r="H25" s="33" t="n">
        <f aca="false">IF(OR(A25="",G25&lt;&gt;"Sim"),0,IF(C25="US$",D25*$B$4*(1+$B$5),D25)/IF(E25="Anual",12,1))</f>
        <v>0</v>
      </c>
      <c r="I25" s="33" t="n">
        <f aca="false">H25*12</f>
        <v>0</v>
      </c>
      <c r="J25" s="4"/>
    </row>
    <row r="26" customFormat="false" ht="15" hidden="false" customHeight="false" outlineLevel="0" collapsed="false">
      <c r="A26" s="4"/>
      <c r="B26" s="4"/>
      <c r="C26" s="32"/>
      <c r="D26" s="37"/>
      <c r="E26" s="32"/>
      <c r="F26" s="32"/>
      <c r="G26" s="32"/>
      <c r="H26" s="33" t="n">
        <f aca="false">IF(OR(A26="",G26&lt;&gt;"Sim"),0,IF(C26="US$",D26*$B$4*(1+$B$5),D26)/IF(E26="Anual",12,1))</f>
        <v>0</v>
      </c>
      <c r="I26" s="33" t="n">
        <f aca="false">H26*12</f>
        <v>0</v>
      </c>
      <c r="J26" s="4"/>
    </row>
    <row r="27" customFormat="false" ht="15" hidden="false" customHeight="false" outlineLevel="0" collapsed="false">
      <c r="A27" s="4"/>
      <c r="B27" s="4"/>
      <c r="C27" s="32"/>
      <c r="D27" s="37"/>
      <c r="E27" s="32"/>
      <c r="F27" s="32"/>
      <c r="G27" s="32"/>
      <c r="H27" s="33" t="n">
        <f aca="false">IF(OR(A27="",G27&lt;&gt;"Sim"),0,IF(C27="US$",D27*$B$4*(1+$B$5),D27)/IF(E27="Anual",12,1))</f>
        <v>0</v>
      </c>
      <c r="I27" s="33" t="n">
        <f aca="false">H27*12</f>
        <v>0</v>
      </c>
      <c r="J27" s="4"/>
    </row>
    <row r="28" customFormat="false" ht="15" hidden="false" customHeight="false" outlineLevel="0" collapsed="false">
      <c r="A28" s="4"/>
      <c r="B28" s="4"/>
      <c r="C28" s="32"/>
      <c r="D28" s="37"/>
      <c r="E28" s="32"/>
      <c r="F28" s="32"/>
      <c r="G28" s="32"/>
      <c r="H28" s="33" t="n">
        <f aca="false">IF(OR(A28="",G28&lt;&gt;"Sim"),0,IF(C28="US$",D28*$B$4*(1+$B$5),D28)/IF(E28="Anual",12,1))</f>
        <v>0</v>
      </c>
      <c r="I28" s="33" t="n">
        <f aca="false">H28*12</f>
        <v>0</v>
      </c>
      <c r="J28" s="4"/>
    </row>
    <row r="29" customFormat="false" ht="15" hidden="false" customHeight="false" outlineLevel="0" collapsed="false">
      <c r="A29" s="4"/>
      <c r="B29" s="4"/>
      <c r="C29" s="32"/>
      <c r="D29" s="37"/>
      <c r="E29" s="32"/>
      <c r="F29" s="32"/>
      <c r="G29" s="32"/>
      <c r="H29" s="33" t="n">
        <f aca="false">IF(OR(A29="",G29&lt;&gt;"Sim"),0,IF(C29="US$",D29*$B$4*(1+$B$5),D29)/IF(E29="Anual",12,1))</f>
        <v>0</v>
      </c>
      <c r="I29" s="33" t="n">
        <f aca="false">H29*12</f>
        <v>0</v>
      </c>
      <c r="J29" s="4"/>
    </row>
    <row r="30" customFormat="false" ht="15" hidden="false" customHeight="false" outlineLevel="0" collapsed="false">
      <c r="A30" s="4"/>
      <c r="B30" s="4"/>
      <c r="C30" s="32"/>
      <c r="D30" s="37"/>
      <c r="E30" s="32"/>
      <c r="F30" s="32"/>
      <c r="G30" s="32"/>
      <c r="H30" s="33" t="n">
        <f aca="false">IF(OR(A30="",G30&lt;&gt;"Sim"),0,IF(C30="US$",D30*$B$4*(1+$B$5),D30)/IF(E30="Anual",12,1))</f>
        <v>0</v>
      </c>
      <c r="I30" s="33" t="n">
        <f aca="false">H30*12</f>
        <v>0</v>
      </c>
      <c r="J30" s="4"/>
    </row>
    <row r="31" customFormat="false" ht="15" hidden="false" customHeight="false" outlineLevel="0" collapsed="false">
      <c r="A31" s="4"/>
      <c r="B31" s="4"/>
      <c r="C31" s="32"/>
      <c r="D31" s="37"/>
      <c r="E31" s="32"/>
      <c r="F31" s="32"/>
      <c r="G31" s="32"/>
      <c r="H31" s="33" t="n">
        <f aca="false">IF(OR(A31="",G31&lt;&gt;"Sim"),0,IF(C31="US$",D31*$B$4*(1+$B$5),D31)/IF(E31="Anual",12,1))</f>
        <v>0</v>
      </c>
      <c r="I31" s="33" t="n">
        <f aca="false">H31*12</f>
        <v>0</v>
      </c>
      <c r="J31" s="4"/>
    </row>
    <row r="32" customFormat="false" ht="15" hidden="false" customHeight="false" outlineLevel="0" collapsed="false">
      <c r="A32" s="4"/>
      <c r="B32" s="4"/>
      <c r="C32" s="32"/>
      <c r="D32" s="37"/>
      <c r="E32" s="32"/>
      <c r="F32" s="32"/>
      <c r="G32" s="32"/>
      <c r="H32" s="33" t="n">
        <f aca="false">IF(OR(A32="",G32&lt;&gt;"Sim"),0,IF(C32="US$",D32*$B$4*(1+$B$5),D32)/IF(E32="Anual",12,1))</f>
        <v>0</v>
      </c>
      <c r="I32" s="33" t="n">
        <f aca="false">H32*12</f>
        <v>0</v>
      </c>
      <c r="J32" s="4"/>
    </row>
    <row r="33" customFormat="false" ht="15" hidden="false" customHeight="false" outlineLevel="0" collapsed="false">
      <c r="A33" s="4"/>
      <c r="B33" s="4"/>
      <c r="C33" s="32"/>
      <c r="D33" s="37"/>
      <c r="E33" s="32"/>
      <c r="F33" s="32"/>
      <c r="G33" s="32"/>
      <c r="H33" s="33" t="n">
        <f aca="false">IF(OR(A33="",G33&lt;&gt;"Sim"),0,IF(C33="US$",D33*$B$4*(1+$B$5),D33)/IF(E33="Anual",12,1))</f>
        <v>0</v>
      </c>
      <c r="I33" s="33" t="n">
        <f aca="false">H33*12</f>
        <v>0</v>
      </c>
      <c r="J33" s="4"/>
    </row>
    <row r="34" customFormat="false" ht="15" hidden="false" customHeight="false" outlineLevel="0" collapsed="false">
      <c r="A34" s="4"/>
      <c r="B34" s="4"/>
      <c r="C34" s="32"/>
      <c r="D34" s="37"/>
      <c r="E34" s="32"/>
      <c r="F34" s="32"/>
      <c r="G34" s="32"/>
      <c r="H34" s="33" t="n">
        <f aca="false">IF(OR(A34="",G34&lt;&gt;"Sim"),0,IF(C34="US$",D34*$B$4*(1+$B$5),D34)/IF(E34="Anual",12,1))</f>
        <v>0</v>
      </c>
      <c r="I34" s="33" t="n">
        <f aca="false">H34*12</f>
        <v>0</v>
      </c>
      <c r="J34" s="4"/>
    </row>
    <row r="35" customFormat="false" ht="15" hidden="false" customHeight="false" outlineLevel="0" collapsed="false">
      <c r="A35" s="4"/>
      <c r="B35" s="4"/>
      <c r="C35" s="32"/>
      <c r="D35" s="37"/>
      <c r="E35" s="32"/>
      <c r="F35" s="32"/>
      <c r="G35" s="32"/>
      <c r="H35" s="33" t="n">
        <f aca="false">IF(OR(A35="",G35&lt;&gt;"Sim"),0,IF(C35="US$",D35*$B$4*(1+$B$5),D35)/IF(E35="Anual",12,1))</f>
        <v>0</v>
      </c>
      <c r="I35" s="33" t="n">
        <f aca="false">H35*12</f>
        <v>0</v>
      </c>
      <c r="J35" s="4"/>
    </row>
    <row r="36" customFormat="false" ht="15" hidden="false" customHeight="false" outlineLevel="0" collapsed="false">
      <c r="A36" s="4"/>
      <c r="B36" s="4"/>
      <c r="C36" s="32"/>
      <c r="D36" s="37"/>
      <c r="E36" s="32"/>
      <c r="F36" s="32"/>
      <c r="G36" s="32"/>
      <c r="H36" s="33" t="n">
        <f aca="false">IF(OR(A36="",G36&lt;&gt;"Sim"),0,IF(C36="US$",D36*$B$4*(1+$B$5),D36)/IF(E36="Anual",12,1))</f>
        <v>0</v>
      </c>
      <c r="I36" s="33" t="n">
        <f aca="false">H36*12</f>
        <v>0</v>
      </c>
      <c r="J36" s="4"/>
    </row>
    <row r="37" customFormat="false" ht="15" hidden="false" customHeight="false" outlineLevel="0" collapsed="false">
      <c r="A37" s="4"/>
      <c r="B37" s="4"/>
      <c r="C37" s="32"/>
      <c r="D37" s="37"/>
      <c r="E37" s="32"/>
      <c r="F37" s="32"/>
      <c r="G37" s="32"/>
      <c r="H37" s="33" t="n">
        <f aca="false">IF(OR(A37="",G37&lt;&gt;"Sim"),0,IF(C37="US$",D37*$B$4*(1+$B$5),D37)/IF(E37="Anual",12,1))</f>
        <v>0</v>
      </c>
      <c r="I37" s="33" t="n">
        <f aca="false">H37*12</f>
        <v>0</v>
      </c>
      <c r="J37" s="4"/>
    </row>
  </sheetData>
  <conditionalFormatting sqref="A8:J37">
    <cfRule type="expression" priority="2" aboveAverage="0" equalAverage="0" bottom="0" percent="0" rank="0" text="" dxfId="19">
      <formula>$G8="Não"</formula>
    </cfRule>
  </conditionalFormatting>
  <dataValidations count="4">
    <dataValidation allowBlank="true" errorStyle="stop" operator="between" showDropDown="false" showErrorMessage="false" showInputMessage="false" sqref="B8:B37" type="list">
      <formula1>Categorias</formula1>
      <formula2>0</formula2>
    </dataValidation>
    <dataValidation allowBlank="true" errorStyle="stop" operator="between" showDropDown="false" showErrorMessage="false" showInputMessage="false" sqref="C8:C37" type="list">
      <formula1>Moedas</formula1>
      <formula2>0</formula2>
    </dataValidation>
    <dataValidation allowBlank="true" errorStyle="stop" operator="between" showDropDown="false" showErrorMessage="false" showInputMessage="false" sqref="E8:E37" type="list">
      <formula1>Cobrancas</formula1>
      <formula2>0</formula2>
    </dataValidation>
    <dataValidation allowBlank="true" errorStyle="stop" operator="between" showDropDown="false" showErrorMessage="false" showInputMessage="false" sqref="G8:G37" type="list">
      <formula1>SimNao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E66"/>
    <pageSetUpPr fitToPage="true"/>
  </sheetPr>
  <dimension ref="B1:O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5" min="3" style="0" width="13"/>
  </cols>
  <sheetData>
    <row r="1" customFormat="false" ht="22.05" hidden="false" customHeight="false" outlineLevel="0" collapsed="false">
      <c r="B1" s="1" t="s">
        <v>17</v>
      </c>
    </row>
    <row r="2" customFormat="false" ht="15" hidden="false" customHeight="false" outlineLevel="0" collapsed="false">
      <c r="B2" s="2" t="s">
        <v>136</v>
      </c>
    </row>
    <row r="4" customFormat="false" ht="15" hidden="false" customHeight="false" outlineLevel="0" collapsed="false">
      <c r="B4" s="34" t="s">
        <v>137</v>
      </c>
      <c r="C4" s="13" t="n">
        <v>46327</v>
      </c>
    </row>
    <row r="6" customFormat="false" ht="30" hidden="false" customHeight="true" outlineLevel="0" collapsed="false">
      <c r="B6" s="21" t="s">
        <v>64</v>
      </c>
      <c r="C6" s="21" t="s">
        <v>138</v>
      </c>
      <c r="D6" s="21" t="s">
        <v>139</v>
      </c>
      <c r="E6" s="21" t="s">
        <v>140</v>
      </c>
      <c r="F6" s="21" t="s">
        <v>35</v>
      </c>
      <c r="G6" s="21" t="s">
        <v>141</v>
      </c>
      <c r="H6" s="21" t="s">
        <v>142</v>
      </c>
    </row>
    <row r="7" customFormat="false" ht="15" hidden="false" customHeight="false" outlineLevel="0" collapsed="false">
      <c r="B7" s="38" t="n">
        <f aca="false">DATE(YEAR($C$4),MONTH($C$4),1)</f>
        <v>46327</v>
      </c>
      <c r="C7" s="33" t="n">
        <f aca="false">SUMIFS(Lançamentos!$G$5:$G$1004,Lançamentos!$C$5:$C$1004,"Entrada",Lançamentos!$H$5:$H$1004,$B7)</f>
        <v>600</v>
      </c>
      <c r="D7" s="33" t="n">
        <f aca="false">SUMIFS(Lançamentos!$G$5:$G$1004,Lançamentos!$C$5:$C$1004,"Saída",Lançamentos!$H$5:$H$1004,$B7)</f>
        <v>114</v>
      </c>
      <c r="E7" s="33" t="n">
        <f aca="false">C7-D7</f>
        <v>486</v>
      </c>
      <c r="F7" s="39" t="n">
        <f aca="false">IF(C7&gt;0,E7/C7,0)</f>
        <v>0.81</v>
      </c>
      <c r="G7" s="33" t="n">
        <f aca="false">E7</f>
        <v>486</v>
      </c>
      <c r="H7" s="40" t="n">
        <f aca="false">COUNTIFS(Lançamentos!$C$5:$C$1004,"Entrada",Lançamentos!$H$5:$H$1004,$B7)</f>
        <v>1</v>
      </c>
    </row>
    <row r="8" customFormat="false" ht="15" hidden="false" customHeight="false" outlineLevel="0" collapsed="false">
      <c r="B8" s="38" t="n">
        <f aca="false">DATE(YEAR(B7),MONTH(B7)+1,1)</f>
        <v>46357</v>
      </c>
      <c r="C8" s="33" t="n">
        <f aca="false">SUMIFS(Lançamentos!$G$5:$G$1004,Lançamentos!$C$5:$C$1004,"Entrada",Lançamentos!$H$5:$H$1004,$B8)</f>
        <v>0</v>
      </c>
      <c r="D8" s="33" t="n">
        <f aca="false">SUMIFS(Lançamentos!$G$5:$G$1004,Lançamentos!$C$5:$C$1004,"Saída",Lançamentos!$H$5:$H$1004,$B8)</f>
        <v>0</v>
      </c>
      <c r="E8" s="33" t="n">
        <f aca="false">C8-D8</f>
        <v>0</v>
      </c>
      <c r="F8" s="39" t="n">
        <f aca="false">IF(C8&gt;0,E8/C8,0)</f>
        <v>0</v>
      </c>
      <c r="G8" s="33" t="n">
        <f aca="false">G7+E8</f>
        <v>486</v>
      </c>
      <c r="H8" s="40" t="n">
        <f aca="false">COUNTIFS(Lançamentos!$C$5:$C$1004,"Entrada",Lançamentos!$H$5:$H$1004,$B8)</f>
        <v>0</v>
      </c>
    </row>
    <row r="9" customFormat="false" ht="15" hidden="false" customHeight="false" outlineLevel="0" collapsed="false">
      <c r="B9" s="38" t="n">
        <f aca="false">DATE(YEAR(B8),MONTH(B8)+1,1)</f>
        <v>46388</v>
      </c>
      <c r="C9" s="33" t="n">
        <f aca="false">SUMIFS(Lançamentos!$G$5:$G$1004,Lançamentos!$C$5:$C$1004,"Entrada",Lançamentos!$H$5:$H$1004,$B9)</f>
        <v>0</v>
      </c>
      <c r="D9" s="33" t="n">
        <f aca="false">SUMIFS(Lançamentos!$G$5:$G$1004,Lançamentos!$C$5:$C$1004,"Saída",Lançamentos!$H$5:$H$1004,$B9)</f>
        <v>0</v>
      </c>
      <c r="E9" s="33" t="n">
        <f aca="false">C9-D9</f>
        <v>0</v>
      </c>
      <c r="F9" s="39" t="n">
        <f aca="false">IF(C9&gt;0,E9/C9,0)</f>
        <v>0</v>
      </c>
      <c r="G9" s="33" t="n">
        <f aca="false">G8+E9</f>
        <v>486</v>
      </c>
      <c r="H9" s="40" t="n">
        <f aca="false">COUNTIFS(Lançamentos!$C$5:$C$1004,"Entrada",Lançamentos!$H$5:$H$1004,$B9)</f>
        <v>0</v>
      </c>
    </row>
    <row r="10" customFormat="false" ht="15" hidden="false" customHeight="false" outlineLevel="0" collapsed="false">
      <c r="B10" s="38" t="n">
        <f aca="false">DATE(YEAR(B9),MONTH(B9)+1,1)</f>
        <v>46419</v>
      </c>
      <c r="C10" s="33" t="n">
        <f aca="false">SUMIFS(Lançamentos!$G$5:$G$1004,Lançamentos!$C$5:$C$1004,"Entrada",Lançamentos!$H$5:$H$1004,$B10)</f>
        <v>0</v>
      </c>
      <c r="D10" s="33" t="n">
        <f aca="false">SUMIFS(Lançamentos!$G$5:$G$1004,Lançamentos!$C$5:$C$1004,"Saída",Lançamentos!$H$5:$H$1004,$B10)</f>
        <v>0</v>
      </c>
      <c r="E10" s="33" t="n">
        <f aca="false">C10-D10</f>
        <v>0</v>
      </c>
      <c r="F10" s="39" t="n">
        <f aca="false">IF(C10&gt;0,E10/C10,0)</f>
        <v>0</v>
      </c>
      <c r="G10" s="33" t="n">
        <f aca="false">G9+E10</f>
        <v>486</v>
      </c>
      <c r="H10" s="40" t="n">
        <f aca="false">COUNTIFS(Lançamentos!$C$5:$C$1004,"Entrada",Lançamentos!$H$5:$H$1004,$B10)</f>
        <v>0</v>
      </c>
    </row>
    <row r="11" customFormat="false" ht="15" hidden="false" customHeight="false" outlineLevel="0" collapsed="false">
      <c r="B11" s="38" t="n">
        <f aca="false">DATE(YEAR(B10),MONTH(B10)+1,1)</f>
        <v>46447</v>
      </c>
      <c r="C11" s="33" t="n">
        <f aca="false">SUMIFS(Lançamentos!$G$5:$G$1004,Lançamentos!$C$5:$C$1004,"Entrada",Lançamentos!$H$5:$H$1004,$B11)</f>
        <v>0</v>
      </c>
      <c r="D11" s="33" t="n">
        <f aca="false">SUMIFS(Lançamentos!$G$5:$G$1004,Lançamentos!$C$5:$C$1004,"Saída",Lançamentos!$H$5:$H$1004,$B11)</f>
        <v>0</v>
      </c>
      <c r="E11" s="33" t="n">
        <f aca="false">C11-D11</f>
        <v>0</v>
      </c>
      <c r="F11" s="39" t="n">
        <f aca="false">IF(C11&gt;0,E11/C11,0)</f>
        <v>0</v>
      </c>
      <c r="G11" s="33" t="n">
        <f aca="false">G10+E11</f>
        <v>486</v>
      </c>
      <c r="H11" s="40" t="n">
        <f aca="false">COUNTIFS(Lançamentos!$C$5:$C$1004,"Entrada",Lançamentos!$H$5:$H$1004,$B11)</f>
        <v>0</v>
      </c>
    </row>
    <row r="12" customFormat="false" ht="15" hidden="false" customHeight="false" outlineLevel="0" collapsed="false">
      <c r="B12" s="38" t="n">
        <f aca="false">DATE(YEAR(B11),MONTH(B11)+1,1)</f>
        <v>46478</v>
      </c>
      <c r="C12" s="33" t="n">
        <f aca="false">SUMIFS(Lançamentos!$G$5:$G$1004,Lançamentos!$C$5:$C$1004,"Entrada",Lançamentos!$H$5:$H$1004,$B12)</f>
        <v>0</v>
      </c>
      <c r="D12" s="33" t="n">
        <f aca="false">SUMIFS(Lançamentos!$G$5:$G$1004,Lançamentos!$C$5:$C$1004,"Saída",Lançamentos!$H$5:$H$1004,$B12)</f>
        <v>0</v>
      </c>
      <c r="E12" s="33" t="n">
        <f aca="false">C12-D12</f>
        <v>0</v>
      </c>
      <c r="F12" s="39" t="n">
        <f aca="false">IF(C12&gt;0,E12/C12,0)</f>
        <v>0</v>
      </c>
      <c r="G12" s="33" t="n">
        <f aca="false">G11+E12</f>
        <v>486</v>
      </c>
      <c r="H12" s="40" t="n">
        <f aca="false">COUNTIFS(Lançamentos!$C$5:$C$1004,"Entrada",Lançamentos!$H$5:$H$1004,$B12)</f>
        <v>0</v>
      </c>
    </row>
    <row r="13" customFormat="false" ht="15" hidden="false" customHeight="false" outlineLevel="0" collapsed="false">
      <c r="B13" s="38" t="n">
        <f aca="false">DATE(YEAR(B12),MONTH(B12)+1,1)</f>
        <v>46508</v>
      </c>
      <c r="C13" s="33" t="n">
        <f aca="false">SUMIFS(Lançamentos!$G$5:$G$1004,Lançamentos!$C$5:$C$1004,"Entrada",Lançamentos!$H$5:$H$1004,$B13)</f>
        <v>0</v>
      </c>
      <c r="D13" s="33" t="n">
        <f aca="false">SUMIFS(Lançamentos!$G$5:$G$1004,Lançamentos!$C$5:$C$1004,"Saída",Lançamentos!$H$5:$H$1004,$B13)</f>
        <v>0</v>
      </c>
      <c r="E13" s="33" t="n">
        <f aca="false">C13-D13</f>
        <v>0</v>
      </c>
      <c r="F13" s="39" t="n">
        <f aca="false">IF(C13&gt;0,E13/C13,0)</f>
        <v>0</v>
      </c>
      <c r="G13" s="33" t="n">
        <f aca="false">G12+E13</f>
        <v>486</v>
      </c>
      <c r="H13" s="40" t="n">
        <f aca="false">COUNTIFS(Lançamentos!$C$5:$C$1004,"Entrada",Lançamentos!$H$5:$H$1004,$B13)</f>
        <v>0</v>
      </c>
    </row>
    <row r="14" customFormat="false" ht="15" hidden="false" customHeight="false" outlineLevel="0" collapsed="false">
      <c r="B14" s="38" t="n">
        <f aca="false">DATE(YEAR(B13),MONTH(B13)+1,1)</f>
        <v>46539</v>
      </c>
      <c r="C14" s="33" t="n">
        <f aca="false">SUMIFS(Lançamentos!$G$5:$G$1004,Lançamentos!$C$5:$C$1004,"Entrada",Lançamentos!$H$5:$H$1004,$B14)</f>
        <v>0</v>
      </c>
      <c r="D14" s="33" t="n">
        <f aca="false">SUMIFS(Lançamentos!$G$5:$G$1004,Lançamentos!$C$5:$C$1004,"Saída",Lançamentos!$H$5:$H$1004,$B14)</f>
        <v>0</v>
      </c>
      <c r="E14" s="33" t="n">
        <f aca="false">C14-D14</f>
        <v>0</v>
      </c>
      <c r="F14" s="39" t="n">
        <f aca="false">IF(C14&gt;0,E14/C14,0)</f>
        <v>0</v>
      </c>
      <c r="G14" s="33" t="n">
        <f aca="false">G13+E14</f>
        <v>486</v>
      </c>
      <c r="H14" s="40" t="n">
        <f aca="false">COUNTIFS(Lançamentos!$C$5:$C$1004,"Entrada",Lançamentos!$H$5:$H$1004,$B14)</f>
        <v>0</v>
      </c>
    </row>
    <row r="15" customFormat="false" ht="15" hidden="false" customHeight="false" outlineLevel="0" collapsed="false">
      <c r="B15" s="38" t="n">
        <f aca="false">DATE(YEAR(B14),MONTH(B14)+1,1)</f>
        <v>46569</v>
      </c>
      <c r="C15" s="33" t="n">
        <f aca="false">SUMIFS(Lançamentos!$G$5:$G$1004,Lançamentos!$C$5:$C$1004,"Entrada",Lançamentos!$H$5:$H$1004,$B15)</f>
        <v>0</v>
      </c>
      <c r="D15" s="33" t="n">
        <f aca="false">SUMIFS(Lançamentos!$G$5:$G$1004,Lançamentos!$C$5:$C$1004,"Saída",Lançamentos!$H$5:$H$1004,$B15)</f>
        <v>0</v>
      </c>
      <c r="E15" s="33" t="n">
        <f aca="false">C15-D15</f>
        <v>0</v>
      </c>
      <c r="F15" s="39" t="n">
        <f aca="false">IF(C15&gt;0,E15/C15,0)</f>
        <v>0</v>
      </c>
      <c r="G15" s="33" t="n">
        <f aca="false">G14+E15</f>
        <v>486</v>
      </c>
      <c r="H15" s="40" t="n">
        <f aca="false">COUNTIFS(Lançamentos!$C$5:$C$1004,"Entrada",Lançamentos!$H$5:$H$1004,$B15)</f>
        <v>0</v>
      </c>
    </row>
    <row r="16" customFormat="false" ht="15" hidden="false" customHeight="false" outlineLevel="0" collapsed="false">
      <c r="B16" s="38" t="n">
        <f aca="false">DATE(YEAR(B15),MONTH(B15)+1,1)</f>
        <v>46600</v>
      </c>
      <c r="C16" s="33" t="n">
        <f aca="false">SUMIFS(Lançamentos!$G$5:$G$1004,Lançamentos!$C$5:$C$1004,"Entrada",Lançamentos!$H$5:$H$1004,$B16)</f>
        <v>0</v>
      </c>
      <c r="D16" s="33" t="n">
        <f aca="false">SUMIFS(Lançamentos!$G$5:$G$1004,Lançamentos!$C$5:$C$1004,"Saída",Lançamentos!$H$5:$H$1004,$B16)</f>
        <v>0</v>
      </c>
      <c r="E16" s="33" t="n">
        <f aca="false">C16-D16</f>
        <v>0</v>
      </c>
      <c r="F16" s="39" t="n">
        <f aca="false">IF(C16&gt;0,E16/C16,0)</f>
        <v>0</v>
      </c>
      <c r="G16" s="33" t="n">
        <f aca="false">G15+E16</f>
        <v>486</v>
      </c>
      <c r="H16" s="40" t="n">
        <f aca="false">COUNTIFS(Lançamentos!$C$5:$C$1004,"Entrada",Lançamentos!$H$5:$H$1004,$B16)</f>
        <v>0</v>
      </c>
    </row>
    <row r="17" customFormat="false" ht="15" hidden="false" customHeight="false" outlineLevel="0" collapsed="false">
      <c r="B17" s="38" t="n">
        <f aca="false">DATE(YEAR(B16),MONTH(B16)+1,1)</f>
        <v>46631</v>
      </c>
      <c r="C17" s="33" t="n">
        <f aca="false">SUMIFS(Lançamentos!$G$5:$G$1004,Lançamentos!$C$5:$C$1004,"Entrada",Lançamentos!$H$5:$H$1004,$B17)</f>
        <v>0</v>
      </c>
      <c r="D17" s="33" t="n">
        <f aca="false">SUMIFS(Lançamentos!$G$5:$G$1004,Lançamentos!$C$5:$C$1004,"Saída",Lançamentos!$H$5:$H$1004,$B17)</f>
        <v>0</v>
      </c>
      <c r="E17" s="33" t="n">
        <f aca="false">C17-D17</f>
        <v>0</v>
      </c>
      <c r="F17" s="39" t="n">
        <f aca="false">IF(C17&gt;0,E17/C17,0)</f>
        <v>0</v>
      </c>
      <c r="G17" s="33" t="n">
        <f aca="false">G16+E17</f>
        <v>486</v>
      </c>
      <c r="H17" s="40" t="n">
        <f aca="false">COUNTIFS(Lançamentos!$C$5:$C$1004,"Entrada",Lançamentos!$H$5:$H$1004,$B17)</f>
        <v>0</v>
      </c>
    </row>
    <row r="18" customFormat="false" ht="15" hidden="false" customHeight="false" outlineLevel="0" collapsed="false">
      <c r="B18" s="38" t="n">
        <f aca="false">DATE(YEAR(B17),MONTH(B17)+1,1)</f>
        <v>46661</v>
      </c>
      <c r="C18" s="33" t="n">
        <f aca="false">SUMIFS(Lançamentos!$G$5:$G$1004,Lançamentos!$C$5:$C$1004,"Entrada",Lançamentos!$H$5:$H$1004,$B18)</f>
        <v>0</v>
      </c>
      <c r="D18" s="33" t="n">
        <f aca="false">SUMIFS(Lançamentos!$G$5:$G$1004,Lançamentos!$C$5:$C$1004,"Saída",Lançamentos!$H$5:$H$1004,$B18)</f>
        <v>0</v>
      </c>
      <c r="E18" s="33" t="n">
        <f aca="false">C18-D18</f>
        <v>0</v>
      </c>
      <c r="F18" s="39" t="n">
        <f aca="false">IF(C18&gt;0,E18/C18,0)</f>
        <v>0</v>
      </c>
      <c r="G18" s="33" t="n">
        <f aca="false">G17+E18</f>
        <v>486</v>
      </c>
      <c r="H18" s="40" t="n">
        <f aca="false">COUNTIFS(Lançamentos!$C$5:$C$1004,"Entrada",Lançamentos!$H$5:$H$1004,$B18)</f>
        <v>0</v>
      </c>
    </row>
    <row r="19" customFormat="false" ht="15" hidden="false" customHeight="false" outlineLevel="0" collapsed="false">
      <c r="B19" s="41" t="s">
        <v>143</v>
      </c>
      <c r="C19" s="31" t="n">
        <f aca="false">SUM(C7:C18)</f>
        <v>600</v>
      </c>
      <c r="D19" s="31" t="n">
        <f aca="false">SUM(D7:D18)</f>
        <v>114</v>
      </c>
      <c r="E19" s="31" t="n">
        <f aca="false">C19-D19</f>
        <v>486</v>
      </c>
      <c r="F19" s="42" t="n">
        <f aca="false">IF(C19&gt;0,E19/C19,0)</f>
        <v>0.81</v>
      </c>
      <c r="G19" s="41"/>
      <c r="H19" s="43" t="n">
        <f aca="false">SUM(H7:H18)</f>
        <v>1</v>
      </c>
    </row>
    <row r="22" customFormat="false" ht="15" hidden="false" customHeight="false" outlineLevel="0" collapsed="false">
      <c r="B22" s="3" t="s">
        <v>144</v>
      </c>
    </row>
    <row r="23" customFormat="false" ht="30" hidden="false" customHeight="true" outlineLevel="0" collapsed="false">
      <c r="B23" s="21" t="s">
        <v>58</v>
      </c>
      <c r="C23" s="44" t="n">
        <f aca="false">$B$7</f>
        <v>46327</v>
      </c>
      <c r="D23" s="44" t="n">
        <f aca="false">$B$8</f>
        <v>46357</v>
      </c>
      <c r="E23" s="44" t="n">
        <f aca="false">$B$9</f>
        <v>46388</v>
      </c>
      <c r="F23" s="44" t="n">
        <f aca="false">$B$10</f>
        <v>46419</v>
      </c>
      <c r="G23" s="44" t="n">
        <f aca="false">$B$11</f>
        <v>46447</v>
      </c>
      <c r="H23" s="44" t="n">
        <f aca="false">$B$12</f>
        <v>46478</v>
      </c>
      <c r="I23" s="44" t="n">
        <f aca="false">$B$13</f>
        <v>46508</v>
      </c>
      <c r="J23" s="44" t="n">
        <f aca="false">$B$14</f>
        <v>46539</v>
      </c>
      <c r="K23" s="44" t="n">
        <f aca="false">$B$15</f>
        <v>46569</v>
      </c>
      <c r="L23" s="44" t="n">
        <f aca="false">$B$16</f>
        <v>46600</v>
      </c>
      <c r="M23" s="44" t="n">
        <f aca="false">$B$17</f>
        <v>46631</v>
      </c>
      <c r="N23" s="44" t="n">
        <f aca="false">$B$18</f>
        <v>46661</v>
      </c>
      <c r="O23" s="21" t="s">
        <v>54</v>
      </c>
    </row>
    <row r="24" customFormat="false" ht="15" hidden="false" customHeight="false" outlineLevel="0" collapsed="false">
      <c r="B24" s="6" t="str">
        <f aca="false">IFERROR(INDEX(Listas!$B$5:$B$40,MATCH(ROWS($B$24:B24),Listas!$D$5:$D$40,0)),"")</f>
        <v>Site WhatsApp</v>
      </c>
      <c r="C24" s="45" t="n">
        <f aca="false">IF($B24="","",SUMIFS(Lançamentos!$G$5:$G$1004,Lançamentos!$B$5:$B$1004,$B24,Lançamentos!$H$5:$H$1004,C$23))</f>
        <v>600</v>
      </c>
      <c r="D24" s="45" t="n">
        <f aca="false">IF($B24="","",SUMIFS(Lançamentos!$G$5:$G$1004,Lançamentos!$B$5:$B$1004,$B24,Lançamentos!$H$5:$H$1004,D$23))</f>
        <v>0</v>
      </c>
      <c r="E24" s="45" t="n">
        <f aca="false">IF($B24="","",SUMIFS(Lançamentos!$G$5:$G$1004,Lançamentos!$B$5:$B$1004,$B24,Lançamentos!$H$5:$H$1004,E$23))</f>
        <v>0</v>
      </c>
      <c r="F24" s="45" t="n">
        <f aca="false">IF($B24="","",SUMIFS(Lançamentos!$G$5:$G$1004,Lançamentos!$B$5:$B$1004,$B24,Lançamentos!$H$5:$H$1004,F$23))</f>
        <v>0</v>
      </c>
      <c r="G24" s="45" t="n">
        <f aca="false">IF($B24="","",SUMIFS(Lançamentos!$G$5:$G$1004,Lançamentos!$B$5:$B$1004,$B24,Lançamentos!$H$5:$H$1004,G$23))</f>
        <v>0</v>
      </c>
      <c r="H24" s="45" t="n">
        <f aca="false">IF($B24="","",SUMIFS(Lançamentos!$G$5:$G$1004,Lançamentos!$B$5:$B$1004,$B24,Lançamentos!$H$5:$H$1004,H$23))</f>
        <v>0</v>
      </c>
      <c r="I24" s="45" t="n">
        <f aca="false">IF($B24="","",SUMIFS(Lançamentos!$G$5:$G$1004,Lançamentos!$B$5:$B$1004,$B24,Lançamentos!$H$5:$H$1004,I$23))</f>
        <v>0</v>
      </c>
      <c r="J24" s="45" t="n">
        <f aca="false">IF($B24="","",SUMIFS(Lançamentos!$G$5:$G$1004,Lançamentos!$B$5:$B$1004,$B24,Lançamentos!$H$5:$H$1004,J$23))</f>
        <v>0</v>
      </c>
      <c r="K24" s="45" t="n">
        <f aca="false">IF($B24="","",SUMIFS(Lançamentos!$G$5:$G$1004,Lançamentos!$B$5:$B$1004,$B24,Lançamentos!$H$5:$H$1004,K$23))</f>
        <v>0</v>
      </c>
      <c r="L24" s="45" t="n">
        <f aca="false">IF($B24="","",SUMIFS(Lançamentos!$G$5:$G$1004,Lançamentos!$B$5:$B$1004,$B24,Lançamentos!$H$5:$H$1004,L$23))</f>
        <v>0</v>
      </c>
      <c r="M24" s="45" t="n">
        <f aca="false">IF($B24="","",SUMIFS(Lançamentos!$G$5:$G$1004,Lançamentos!$B$5:$B$1004,$B24,Lançamentos!$H$5:$H$1004,M$23))</f>
        <v>0</v>
      </c>
      <c r="N24" s="45" t="n">
        <f aca="false">IF($B24="","",SUMIFS(Lançamentos!$G$5:$G$1004,Lançamentos!$B$5:$B$1004,$B24,Lançamentos!$H$5:$H$1004,N$23))</f>
        <v>0</v>
      </c>
      <c r="O24" s="46" t="n">
        <f aca="false">IF($B24="","",SUM(C24:N24))</f>
        <v>600</v>
      </c>
    </row>
    <row r="25" customFormat="false" ht="15" hidden="false" customHeight="false" outlineLevel="0" collapsed="false">
      <c r="B25" s="6" t="str">
        <f aca="false">IFERROR(INDEX(Listas!$B$5:$B$40,MATCH(ROWS($B$24:B25),Listas!$D$5:$D$40,0)),"")</f>
        <v>Loja virtual</v>
      </c>
      <c r="C25" s="45" t="n">
        <f aca="false">IF($B25="","",SUMIFS(Lançamentos!$G$5:$G$1004,Lançamentos!$B$5:$B$1004,$B25,Lançamentos!$H$5:$H$1004,C$23))</f>
        <v>0</v>
      </c>
      <c r="D25" s="45" t="n">
        <f aca="false">IF($B25="","",SUMIFS(Lançamentos!$G$5:$G$1004,Lançamentos!$B$5:$B$1004,$B25,Lançamentos!$H$5:$H$1004,D$23))</f>
        <v>0</v>
      </c>
      <c r="E25" s="45" t="n">
        <f aca="false">IF($B25="","",SUMIFS(Lançamentos!$G$5:$G$1004,Lançamentos!$B$5:$B$1004,$B25,Lançamentos!$H$5:$H$1004,E$23))</f>
        <v>0</v>
      </c>
      <c r="F25" s="45" t="n">
        <f aca="false">IF($B25="","",SUMIFS(Lançamentos!$G$5:$G$1004,Lançamentos!$B$5:$B$1004,$B25,Lançamentos!$H$5:$H$1004,F$23))</f>
        <v>0</v>
      </c>
      <c r="G25" s="45" t="n">
        <f aca="false">IF($B25="","",SUMIFS(Lançamentos!$G$5:$G$1004,Lançamentos!$B$5:$B$1004,$B25,Lançamentos!$H$5:$H$1004,G$23))</f>
        <v>0</v>
      </c>
      <c r="H25" s="45" t="n">
        <f aca="false">IF($B25="","",SUMIFS(Lançamentos!$G$5:$G$1004,Lançamentos!$B$5:$B$1004,$B25,Lançamentos!$H$5:$H$1004,H$23))</f>
        <v>0</v>
      </c>
      <c r="I25" s="45" t="n">
        <f aca="false">IF($B25="","",SUMIFS(Lançamentos!$G$5:$G$1004,Lançamentos!$B$5:$B$1004,$B25,Lançamentos!$H$5:$H$1004,I$23))</f>
        <v>0</v>
      </c>
      <c r="J25" s="45" t="n">
        <f aca="false">IF($B25="","",SUMIFS(Lançamentos!$G$5:$G$1004,Lançamentos!$B$5:$B$1004,$B25,Lançamentos!$H$5:$H$1004,J$23))</f>
        <v>0</v>
      </c>
      <c r="K25" s="45" t="n">
        <f aca="false">IF($B25="","",SUMIFS(Lançamentos!$G$5:$G$1004,Lançamentos!$B$5:$B$1004,$B25,Lançamentos!$H$5:$H$1004,K$23))</f>
        <v>0</v>
      </c>
      <c r="L25" s="45" t="n">
        <f aca="false">IF($B25="","",SUMIFS(Lançamentos!$G$5:$G$1004,Lançamentos!$B$5:$B$1004,$B25,Lançamentos!$H$5:$H$1004,L$23))</f>
        <v>0</v>
      </c>
      <c r="M25" s="45" t="n">
        <f aca="false">IF($B25="","",SUMIFS(Lançamentos!$G$5:$G$1004,Lançamentos!$B$5:$B$1004,$B25,Lançamentos!$H$5:$H$1004,M$23))</f>
        <v>0</v>
      </c>
      <c r="N25" s="45" t="n">
        <f aca="false">IF($B25="","",SUMIFS(Lançamentos!$G$5:$G$1004,Lançamentos!$B$5:$B$1004,$B25,Lançamentos!$H$5:$H$1004,N$23))</f>
        <v>0</v>
      </c>
      <c r="O25" s="46" t="n">
        <f aca="false">IF($B25="","",SUM(C25:N25))</f>
        <v>0</v>
      </c>
    </row>
    <row r="26" customFormat="false" ht="15" hidden="false" customHeight="false" outlineLevel="0" collapsed="false">
      <c r="B26" s="6" t="str">
        <f aca="false">IFERROR(INDEX(Listas!$B$5:$B$40,MATCH(ROWS($B$24:B26),Listas!$D$5:$D$40,0)),"")</f>
        <v>SaaS / sistema</v>
      </c>
      <c r="C26" s="45" t="n">
        <f aca="false">IF($B26="","",SUMIFS(Lançamentos!$G$5:$G$1004,Lançamentos!$B$5:$B$1004,$B26,Lançamentos!$H$5:$H$1004,C$23))</f>
        <v>0</v>
      </c>
      <c r="D26" s="45" t="n">
        <f aca="false">IF($B26="","",SUMIFS(Lançamentos!$G$5:$G$1004,Lançamentos!$B$5:$B$1004,$B26,Lançamentos!$H$5:$H$1004,D$23))</f>
        <v>0</v>
      </c>
      <c r="E26" s="45" t="n">
        <f aca="false">IF($B26="","",SUMIFS(Lançamentos!$G$5:$G$1004,Lançamentos!$B$5:$B$1004,$B26,Lançamentos!$H$5:$H$1004,E$23))</f>
        <v>0</v>
      </c>
      <c r="F26" s="45" t="n">
        <f aca="false">IF($B26="","",SUMIFS(Lançamentos!$G$5:$G$1004,Lançamentos!$B$5:$B$1004,$B26,Lançamentos!$H$5:$H$1004,F$23))</f>
        <v>0</v>
      </c>
      <c r="G26" s="45" t="n">
        <f aca="false">IF($B26="","",SUMIFS(Lançamentos!$G$5:$G$1004,Lançamentos!$B$5:$B$1004,$B26,Lançamentos!$H$5:$H$1004,G$23))</f>
        <v>0</v>
      </c>
      <c r="H26" s="45" t="n">
        <f aca="false">IF($B26="","",SUMIFS(Lançamentos!$G$5:$G$1004,Lançamentos!$B$5:$B$1004,$B26,Lançamentos!$H$5:$H$1004,H$23))</f>
        <v>0</v>
      </c>
      <c r="I26" s="45" t="n">
        <f aca="false">IF($B26="","",SUMIFS(Lançamentos!$G$5:$G$1004,Lançamentos!$B$5:$B$1004,$B26,Lançamentos!$H$5:$H$1004,I$23))</f>
        <v>0</v>
      </c>
      <c r="J26" s="45" t="n">
        <f aca="false">IF($B26="","",SUMIFS(Lançamentos!$G$5:$G$1004,Lançamentos!$B$5:$B$1004,$B26,Lançamentos!$H$5:$H$1004,J$23))</f>
        <v>0</v>
      </c>
      <c r="K26" s="45" t="n">
        <f aca="false">IF($B26="","",SUMIFS(Lançamentos!$G$5:$G$1004,Lançamentos!$B$5:$B$1004,$B26,Lançamentos!$H$5:$H$1004,K$23))</f>
        <v>0</v>
      </c>
      <c r="L26" s="45" t="n">
        <f aca="false">IF($B26="","",SUMIFS(Lançamentos!$G$5:$G$1004,Lançamentos!$B$5:$B$1004,$B26,Lançamentos!$H$5:$H$1004,L$23))</f>
        <v>0</v>
      </c>
      <c r="M26" s="45" t="n">
        <f aca="false">IF($B26="","",SUMIFS(Lançamentos!$G$5:$G$1004,Lançamentos!$B$5:$B$1004,$B26,Lançamentos!$H$5:$H$1004,M$23))</f>
        <v>0</v>
      </c>
      <c r="N26" s="45" t="n">
        <f aca="false">IF($B26="","",SUMIFS(Lançamentos!$G$5:$G$1004,Lançamentos!$B$5:$B$1004,$B26,Lançamentos!$H$5:$H$1004,N$23))</f>
        <v>0</v>
      </c>
      <c r="O26" s="46" t="n">
        <f aca="false">IF($B26="","",SUM(C26:N26))</f>
        <v>0</v>
      </c>
    </row>
    <row r="27" customFormat="false" ht="15" hidden="false" customHeight="false" outlineLevel="0" collapsed="false">
      <c r="B27" s="6" t="str">
        <f aca="false">IFERROR(INDEX(Listas!$B$5:$B$40,MATCH(ROWS($B$24:B27),Listas!$D$5:$D$40,0)),"")</f>
        <v>Mensalidade de cliente</v>
      </c>
      <c r="C27" s="45" t="n">
        <f aca="false">IF($B27="","",SUMIFS(Lançamentos!$G$5:$G$1004,Lançamentos!$B$5:$B$1004,$B27,Lançamentos!$H$5:$H$1004,C$23))</f>
        <v>0</v>
      </c>
      <c r="D27" s="45" t="n">
        <f aca="false">IF($B27="","",SUMIFS(Lançamentos!$G$5:$G$1004,Lançamentos!$B$5:$B$1004,$B27,Lançamentos!$H$5:$H$1004,D$23))</f>
        <v>0</v>
      </c>
      <c r="E27" s="45" t="n">
        <f aca="false">IF($B27="","",SUMIFS(Lançamentos!$G$5:$G$1004,Lançamentos!$B$5:$B$1004,$B27,Lançamentos!$H$5:$H$1004,E$23))</f>
        <v>0</v>
      </c>
      <c r="F27" s="45" t="n">
        <f aca="false">IF($B27="","",SUMIFS(Lançamentos!$G$5:$G$1004,Lançamentos!$B$5:$B$1004,$B27,Lançamentos!$H$5:$H$1004,F$23))</f>
        <v>0</v>
      </c>
      <c r="G27" s="45" t="n">
        <f aca="false">IF($B27="","",SUMIFS(Lançamentos!$G$5:$G$1004,Lançamentos!$B$5:$B$1004,$B27,Lançamentos!$H$5:$H$1004,G$23))</f>
        <v>0</v>
      </c>
      <c r="H27" s="45" t="n">
        <f aca="false">IF($B27="","",SUMIFS(Lançamentos!$G$5:$G$1004,Lançamentos!$B$5:$B$1004,$B27,Lançamentos!$H$5:$H$1004,H$23))</f>
        <v>0</v>
      </c>
      <c r="I27" s="45" t="n">
        <f aca="false">IF($B27="","",SUMIFS(Lançamentos!$G$5:$G$1004,Lançamentos!$B$5:$B$1004,$B27,Lançamentos!$H$5:$H$1004,I$23))</f>
        <v>0</v>
      </c>
      <c r="J27" s="45" t="n">
        <f aca="false">IF($B27="","",SUMIFS(Lançamentos!$G$5:$G$1004,Lançamentos!$B$5:$B$1004,$B27,Lançamentos!$H$5:$H$1004,J$23))</f>
        <v>0</v>
      </c>
      <c r="K27" s="45" t="n">
        <f aca="false">IF($B27="","",SUMIFS(Lançamentos!$G$5:$G$1004,Lançamentos!$B$5:$B$1004,$B27,Lançamentos!$H$5:$H$1004,K$23))</f>
        <v>0</v>
      </c>
      <c r="L27" s="45" t="n">
        <f aca="false">IF($B27="","",SUMIFS(Lançamentos!$G$5:$G$1004,Lançamentos!$B$5:$B$1004,$B27,Lançamentos!$H$5:$H$1004,L$23))</f>
        <v>0</v>
      </c>
      <c r="M27" s="45" t="n">
        <f aca="false">IF($B27="","",SUMIFS(Lançamentos!$G$5:$G$1004,Lançamentos!$B$5:$B$1004,$B27,Lançamentos!$H$5:$H$1004,M$23))</f>
        <v>0</v>
      </c>
      <c r="N27" s="45" t="n">
        <f aca="false">IF($B27="","",SUMIFS(Lançamentos!$G$5:$G$1004,Lançamentos!$B$5:$B$1004,$B27,Lançamentos!$H$5:$H$1004,N$23))</f>
        <v>0</v>
      </c>
      <c r="O27" s="46" t="n">
        <f aca="false">IF($B27="","",SUM(C27:N27))</f>
        <v>0</v>
      </c>
    </row>
    <row r="28" customFormat="false" ht="15" hidden="false" customHeight="false" outlineLevel="0" collapsed="false">
      <c r="B28" s="6" t="str">
        <f aca="false">IFERROR(INDEX(Listas!$B$5:$B$40,MATCH(ROWS($B$24:B28),Listas!$D$5:$D$40,0)),"")</f>
        <v>Extras e ajustes</v>
      </c>
      <c r="C28" s="45" t="n">
        <f aca="false">IF($B28="","",SUMIFS(Lançamentos!$G$5:$G$1004,Lançamentos!$B$5:$B$1004,$B28,Lançamentos!$H$5:$H$1004,C$23))</f>
        <v>0</v>
      </c>
      <c r="D28" s="45" t="n">
        <f aca="false">IF($B28="","",SUMIFS(Lançamentos!$G$5:$G$1004,Lançamentos!$B$5:$B$1004,$B28,Lançamentos!$H$5:$H$1004,D$23))</f>
        <v>0</v>
      </c>
      <c r="E28" s="45" t="n">
        <f aca="false">IF($B28="","",SUMIFS(Lançamentos!$G$5:$G$1004,Lançamentos!$B$5:$B$1004,$B28,Lançamentos!$H$5:$H$1004,E$23))</f>
        <v>0</v>
      </c>
      <c r="F28" s="45" t="n">
        <f aca="false">IF($B28="","",SUMIFS(Lançamentos!$G$5:$G$1004,Lançamentos!$B$5:$B$1004,$B28,Lançamentos!$H$5:$H$1004,F$23))</f>
        <v>0</v>
      </c>
      <c r="G28" s="45" t="n">
        <f aca="false">IF($B28="","",SUMIFS(Lançamentos!$G$5:$G$1004,Lançamentos!$B$5:$B$1004,$B28,Lançamentos!$H$5:$H$1004,G$23))</f>
        <v>0</v>
      </c>
      <c r="H28" s="45" t="n">
        <f aca="false">IF($B28="","",SUMIFS(Lançamentos!$G$5:$G$1004,Lançamentos!$B$5:$B$1004,$B28,Lançamentos!$H$5:$H$1004,H$23))</f>
        <v>0</v>
      </c>
      <c r="I28" s="45" t="n">
        <f aca="false">IF($B28="","",SUMIFS(Lançamentos!$G$5:$G$1004,Lançamentos!$B$5:$B$1004,$B28,Lançamentos!$H$5:$H$1004,I$23))</f>
        <v>0</v>
      </c>
      <c r="J28" s="45" t="n">
        <f aca="false">IF($B28="","",SUMIFS(Lançamentos!$G$5:$G$1004,Lançamentos!$B$5:$B$1004,$B28,Lançamentos!$H$5:$H$1004,J$23))</f>
        <v>0</v>
      </c>
      <c r="K28" s="45" t="n">
        <f aca="false">IF($B28="","",SUMIFS(Lançamentos!$G$5:$G$1004,Lançamentos!$B$5:$B$1004,$B28,Lançamentos!$H$5:$H$1004,K$23))</f>
        <v>0</v>
      </c>
      <c r="L28" s="45" t="n">
        <f aca="false">IF($B28="","",SUMIFS(Lançamentos!$G$5:$G$1004,Lançamentos!$B$5:$B$1004,$B28,Lançamentos!$H$5:$H$1004,L$23))</f>
        <v>0</v>
      </c>
      <c r="M28" s="45" t="n">
        <f aca="false">IF($B28="","",SUMIFS(Lançamentos!$G$5:$G$1004,Lançamentos!$B$5:$B$1004,$B28,Lançamentos!$H$5:$H$1004,M$23))</f>
        <v>0</v>
      </c>
      <c r="N28" s="45" t="n">
        <f aca="false">IF($B28="","",SUMIFS(Lançamentos!$G$5:$G$1004,Lançamentos!$B$5:$B$1004,$B28,Lançamentos!$H$5:$H$1004,N$23))</f>
        <v>0</v>
      </c>
      <c r="O28" s="46" t="n">
        <f aca="false">IF($B28="","",SUM(C28:N28))</f>
        <v>0</v>
      </c>
    </row>
    <row r="29" customFormat="false" ht="15" hidden="false" customHeight="false" outlineLevel="0" collapsed="false">
      <c r="B29" s="6" t="str">
        <f aca="false">IFERROR(INDEX(Listas!$B$5:$B$40,MATCH(ROWS($B$24:B29),Listas!$D$5:$D$40,0)),"")</f>
        <v>Repasse de domínio</v>
      </c>
      <c r="C29" s="45" t="n">
        <f aca="false">IF($B29="","",SUMIFS(Lançamentos!$G$5:$G$1004,Lançamentos!$B$5:$B$1004,$B29,Lançamentos!$H$5:$H$1004,C$23))</f>
        <v>0</v>
      </c>
      <c r="D29" s="45" t="n">
        <f aca="false">IF($B29="","",SUMIFS(Lançamentos!$G$5:$G$1004,Lançamentos!$B$5:$B$1004,$B29,Lançamentos!$H$5:$H$1004,D$23))</f>
        <v>0</v>
      </c>
      <c r="E29" s="45" t="n">
        <f aca="false">IF($B29="","",SUMIFS(Lançamentos!$G$5:$G$1004,Lançamentos!$B$5:$B$1004,$B29,Lançamentos!$H$5:$H$1004,E$23))</f>
        <v>0</v>
      </c>
      <c r="F29" s="45" t="n">
        <f aca="false">IF($B29="","",SUMIFS(Lançamentos!$G$5:$G$1004,Lançamentos!$B$5:$B$1004,$B29,Lançamentos!$H$5:$H$1004,F$23))</f>
        <v>0</v>
      </c>
      <c r="G29" s="45" t="n">
        <f aca="false">IF($B29="","",SUMIFS(Lançamentos!$G$5:$G$1004,Lançamentos!$B$5:$B$1004,$B29,Lançamentos!$H$5:$H$1004,G$23))</f>
        <v>0</v>
      </c>
      <c r="H29" s="45" t="n">
        <f aca="false">IF($B29="","",SUMIFS(Lançamentos!$G$5:$G$1004,Lançamentos!$B$5:$B$1004,$B29,Lançamentos!$H$5:$H$1004,H$23))</f>
        <v>0</v>
      </c>
      <c r="I29" s="45" t="n">
        <f aca="false">IF($B29="","",SUMIFS(Lançamentos!$G$5:$G$1004,Lançamentos!$B$5:$B$1004,$B29,Lançamentos!$H$5:$H$1004,I$23))</f>
        <v>0</v>
      </c>
      <c r="J29" s="45" t="n">
        <f aca="false">IF($B29="","",SUMIFS(Lançamentos!$G$5:$G$1004,Lançamentos!$B$5:$B$1004,$B29,Lançamentos!$H$5:$H$1004,J$23))</f>
        <v>0</v>
      </c>
      <c r="K29" s="45" t="n">
        <f aca="false">IF($B29="","",SUMIFS(Lançamentos!$G$5:$G$1004,Lançamentos!$B$5:$B$1004,$B29,Lançamentos!$H$5:$H$1004,K$23))</f>
        <v>0</v>
      </c>
      <c r="L29" s="45" t="n">
        <f aca="false">IF($B29="","",SUMIFS(Lançamentos!$G$5:$G$1004,Lançamentos!$B$5:$B$1004,$B29,Lançamentos!$H$5:$H$1004,L$23))</f>
        <v>0</v>
      </c>
      <c r="M29" s="45" t="n">
        <f aca="false">IF($B29="","",SUMIFS(Lançamentos!$G$5:$G$1004,Lançamentos!$B$5:$B$1004,$B29,Lançamentos!$H$5:$H$1004,M$23))</f>
        <v>0</v>
      </c>
      <c r="N29" s="45" t="n">
        <f aca="false">IF($B29="","",SUMIFS(Lançamentos!$G$5:$G$1004,Lançamentos!$B$5:$B$1004,$B29,Lançamentos!$H$5:$H$1004,N$23))</f>
        <v>0</v>
      </c>
      <c r="O29" s="46" t="n">
        <f aca="false">IF($B29="","",SUM(C29:N29))</f>
        <v>0</v>
      </c>
    </row>
    <row r="30" customFormat="false" ht="15" hidden="false" customHeight="false" outlineLevel="0" collapsed="false">
      <c r="B30" s="6" t="str">
        <f aca="false">IFERROR(INDEX(Listas!$B$5:$B$40,MATCH(ROWS($B$24:B30),Listas!$D$5:$D$40,0)),"")</f>
        <v>Outras entradas</v>
      </c>
      <c r="C30" s="45" t="n">
        <f aca="false">IF($B30="","",SUMIFS(Lançamentos!$G$5:$G$1004,Lançamentos!$B$5:$B$1004,$B30,Lançamentos!$H$5:$H$1004,C$23))</f>
        <v>0</v>
      </c>
      <c r="D30" s="45" t="n">
        <f aca="false">IF($B30="","",SUMIFS(Lançamentos!$G$5:$G$1004,Lançamentos!$B$5:$B$1004,$B30,Lançamentos!$H$5:$H$1004,D$23))</f>
        <v>0</v>
      </c>
      <c r="E30" s="45" t="n">
        <f aca="false">IF($B30="","",SUMIFS(Lançamentos!$G$5:$G$1004,Lançamentos!$B$5:$B$1004,$B30,Lançamentos!$H$5:$H$1004,E$23))</f>
        <v>0</v>
      </c>
      <c r="F30" s="45" t="n">
        <f aca="false">IF($B30="","",SUMIFS(Lançamentos!$G$5:$G$1004,Lançamentos!$B$5:$B$1004,$B30,Lançamentos!$H$5:$H$1004,F$23))</f>
        <v>0</v>
      </c>
      <c r="G30" s="45" t="n">
        <f aca="false">IF($B30="","",SUMIFS(Lançamentos!$G$5:$G$1004,Lançamentos!$B$5:$B$1004,$B30,Lançamentos!$H$5:$H$1004,G$23))</f>
        <v>0</v>
      </c>
      <c r="H30" s="45" t="n">
        <f aca="false">IF($B30="","",SUMIFS(Lançamentos!$G$5:$G$1004,Lançamentos!$B$5:$B$1004,$B30,Lançamentos!$H$5:$H$1004,H$23))</f>
        <v>0</v>
      </c>
      <c r="I30" s="45" t="n">
        <f aca="false">IF($B30="","",SUMIFS(Lançamentos!$G$5:$G$1004,Lançamentos!$B$5:$B$1004,$B30,Lançamentos!$H$5:$H$1004,I$23))</f>
        <v>0</v>
      </c>
      <c r="J30" s="45" t="n">
        <f aca="false">IF($B30="","",SUMIFS(Lançamentos!$G$5:$G$1004,Lançamentos!$B$5:$B$1004,$B30,Lançamentos!$H$5:$H$1004,J$23))</f>
        <v>0</v>
      </c>
      <c r="K30" s="45" t="n">
        <f aca="false">IF($B30="","",SUMIFS(Lançamentos!$G$5:$G$1004,Lançamentos!$B$5:$B$1004,$B30,Lançamentos!$H$5:$H$1004,K$23))</f>
        <v>0</v>
      </c>
      <c r="L30" s="45" t="n">
        <f aca="false">IF($B30="","",SUMIFS(Lançamentos!$G$5:$G$1004,Lançamentos!$B$5:$B$1004,$B30,Lançamentos!$H$5:$H$1004,L$23))</f>
        <v>0</v>
      </c>
      <c r="M30" s="45" t="n">
        <f aca="false">IF($B30="","",SUMIFS(Lançamentos!$G$5:$G$1004,Lançamentos!$B$5:$B$1004,$B30,Lançamentos!$H$5:$H$1004,M$23))</f>
        <v>0</v>
      </c>
      <c r="N30" s="45" t="n">
        <f aca="false">IF($B30="","",SUMIFS(Lançamentos!$G$5:$G$1004,Lançamentos!$B$5:$B$1004,$B30,Lançamentos!$H$5:$H$1004,N$23))</f>
        <v>0</v>
      </c>
      <c r="O30" s="46" t="n">
        <f aca="false">IF($B30="","",SUM(C30:N30))</f>
        <v>0</v>
      </c>
    </row>
    <row r="31" customFormat="false" ht="15" hidden="false" customHeight="false" outlineLevel="0" collapsed="false">
      <c r="B31" s="6" t="str">
        <f aca="false">IFERROR(INDEX(Listas!$B$5:$B$40,MATCH(ROWS($B$24:B31),Listas!$D$5:$D$40,0)),"")</f>
        <v/>
      </c>
      <c r="C31" s="45" t="str">
        <f aca="false">IF($B31="","",SUMIFS(Lançamentos!$G$5:$G$1004,Lançamentos!$B$5:$B$1004,$B31,Lançamentos!$H$5:$H$1004,C$23))</f>
        <v/>
      </c>
      <c r="D31" s="45" t="str">
        <f aca="false">IF($B31="","",SUMIFS(Lançamentos!$G$5:$G$1004,Lançamentos!$B$5:$B$1004,$B31,Lançamentos!$H$5:$H$1004,D$23))</f>
        <v/>
      </c>
      <c r="E31" s="45" t="str">
        <f aca="false">IF($B31="","",SUMIFS(Lançamentos!$G$5:$G$1004,Lançamentos!$B$5:$B$1004,$B31,Lançamentos!$H$5:$H$1004,E$23))</f>
        <v/>
      </c>
      <c r="F31" s="45" t="str">
        <f aca="false">IF($B31="","",SUMIFS(Lançamentos!$G$5:$G$1004,Lançamentos!$B$5:$B$1004,$B31,Lançamentos!$H$5:$H$1004,F$23))</f>
        <v/>
      </c>
      <c r="G31" s="45" t="str">
        <f aca="false">IF($B31="","",SUMIFS(Lançamentos!$G$5:$G$1004,Lançamentos!$B$5:$B$1004,$B31,Lançamentos!$H$5:$H$1004,G$23))</f>
        <v/>
      </c>
      <c r="H31" s="45" t="str">
        <f aca="false">IF($B31="","",SUMIFS(Lançamentos!$G$5:$G$1004,Lançamentos!$B$5:$B$1004,$B31,Lançamentos!$H$5:$H$1004,H$23))</f>
        <v/>
      </c>
      <c r="I31" s="45" t="str">
        <f aca="false">IF($B31="","",SUMIFS(Lançamentos!$G$5:$G$1004,Lançamentos!$B$5:$B$1004,$B31,Lançamentos!$H$5:$H$1004,I$23))</f>
        <v/>
      </c>
      <c r="J31" s="45" t="str">
        <f aca="false">IF($B31="","",SUMIFS(Lançamentos!$G$5:$G$1004,Lançamentos!$B$5:$B$1004,$B31,Lançamentos!$H$5:$H$1004,J$23))</f>
        <v/>
      </c>
      <c r="K31" s="45" t="str">
        <f aca="false">IF($B31="","",SUMIFS(Lançamentos!$G$5:$G$1004,Lançamentos!$B$5:$B$1004,$B31,Lançamentos!$H$5:$H$1004,K$23))</f>
        <v/>
      </c>
      <c r="L31" s="45" t="str">
        <f aca="false">IF($B31="","",SUMIFS(Lançamentos!$G$5:$G$1004,Lançamentos!$B$5:$B$1004,$B31,Lançamentos!$H$5:$H$1004,L$23))</f>
        <v/>
      </c>
      <c r="M31" s="45" t="str">
        <f aca="false">IF($B31="","",SUMIFS(Lançamentos!$G$5:$G$1004,Lançamentos!$B$5:$B$1004,$B31,Lançamentos!$H$5:$H$1004,M$23))</f>
        <v/>
      </c>
      <c r="N31" s="45" t="str">
        <f aca="false">IF($B31="","",SUMIFS(Lançamentos!$G$5:$G$1004,Lançamentos!$B$5:$B$1004,$B31,Lançamentos!$H$5:$H$1004,N$23))</f>
        <v/>
      </c>
      <c r="O31" s="46" t="str">
        <f aca="false">IF($B31="","",SUM(C31:N31))</f>
        <v/>
      </c>
    </row>
    <row r="32" customFormat="false" ht="15" hidden="false" customHeight="false" outlineLevel="0" collapsed="false">
      <c r="B32" s="6" t="str">
        <f aca="false">IFERROR(INDEX(Listas!$B$5:$B$40,MATCH(ROWS($B$24:B32),Listas!$D$5:$D$40,0)),"")</f>
        <v/>
      </c>
      <c r="C32" s="45" t="str">
        <f aca="false">IF($B32="","",SUMIFS(Lançamentos!$G$5:$G$1004,Lançamentos!$B$5:$B$1004,$B32,Lançamentos!$H$5:$H$1004,C$23))</f>
        <v/>
      </c>
      <c r="D32" s="45" t="str">
        <f aca="false">IF($B32="","",SUMIFS(Lançamentos!$G$5:$G$1004,Lançamentos!$B$5:$B$1004,$B32,Lançamentos!$H$5:$H$1004,D$23))</f>
        <v/>
      </c>
      <c r="E32" s="45" t="str">
        <f aca="false">IF($B32="","",SUMIFS(Lançamentos!$G$5:$G$1004,Lançamentos!$B$5:$B$1004,$B32,Lançamentos!$H$5:$H$1004,E$23))</f>
        <v/>
      </c>
      <c r="F32" s="45" t="str">
        <f aca="false">IF($B32="","",SUMIFS(Lançamentos!$G$5:$G$1004,Lançamentos!$B$5:$B$1004,$B32,Lançamentos!$H$5:$H$1004,F$23))</f>
        <v/>
      </c>
      <c r="G32" s="45" t="str">
        <f aca="false">IF($B32="","",SUMIFS(Lançamentos!$G$5:$G$1004,Lançamentos!$B$5:$B$1004,$B32,Lançamentos!$H$5:$H$1004,G$23))</f>
        <v/>
      </c>
      <c r="H32" s="45" t="str">
        <f aca="false">IF($B32="","",SUMIFS(Lançamentos!$G$5:$G$1004,Lançamentos!$B$5:$B$1004,$B32,Lançamentos!$H$5:$H$1004,H$23))</f>
        <v/>
      </c>
      <c r="I32" s="45" t="str">
        <f aca="false">IF($B32="","",SUMIFS(Lançamentos!$G$5:$G$1004,Lançamentos!$B$5:$B$1004,$B32,Lançamentos!$H$5:$H$1004,I$23))</f>
        <v/>
      </c>
      <c r="J32" s="45" t="str">
        <f aca="false">IF($B32="","",SUMIFS(Lançamentos!$G$5:$G$1004,Lançamentos!$B$5:$B$1004,$B32,Lançamentos!$H$5:$H$1004,J$23))</f>
        <v/>
      </c>
      <c r="K32" s="45" t="str">
        <f aca="false">IF($B32="","",SUMIFS(Lançamentos!$G$5:$G$1004,Lançamentos!$B$5:$B$1004,$B32,Lançamentos!$H$5:$H$1004,K$23))</f>
        <v/>
      </c>
      <c r="L32" s="45" t="str">
        <f aca="false">IF($B32="","",SUMIFS(Lançamentos!$G$5:$G$1004,Lançamentos!$B$5:$B$1004,$B32,Lançamentos!$H$5:$H$1004,L$23))</f>
        <v/>
      </c>
      <c r="M32" s="45" t="str">
        <f aca="false">IF($B32="","",SUMIFS(Lançamentos!$G$5:$G$1004,Lançamentos!$B$5:$B$1004,$B32,Lançamentos!$H$5:$H$1004,M$23))</f>
        <v/>
      </c>
      <c r="N32" s="45" t="str">
        <f aca="false">IF($B32="","",SUMIFS(Lançamentos!$G$5:$G$1004,Lançamentos!$B$5:$B$1004,$B32,Lançamentos!$H$5:$H$1004,N$23))</f>
        <v/>
      </c>
      <c r="O32" s="46" t="str">
        <f aca="false">IF($B32="","",SUM(C32:N32))</f>
        <v/>
      </c>
    </row>
    <row r="33" customFormat="false" ht="15" hidden="false" customHeight="false" outlineLevel="0" collapsed="false">
      <c r="B33" s="6" t="str">
        <f aca="false">IFERROR(INDEX(Listas!$B$5:$B$40,MATCH(ROWS($B$24:B33),Listas!$D$5:$D$40,0)),"")</f>
        <v/>
      </c>
      <c r="C33" s="45" t="str">
        <f aca="false">IF($B33="","",SUMIFS(Lançamentos!$G$5:$G$1004,Lançamentos!$B$5:$B$1004,$B33,Lançamentos!$H$5:$H$1004,C$23))</f>
        <v/>
      </c>
      <c r="D33" s="45" t="str">
        <f aca="false">IF($B33="","",SUMIFS(Lançamentos!$G$5:$G$1004,Lançamentos!$B$5:$B$1004,$B33,Lançamentos!$H$5:$H$1004,D$23))</f>
        <v/>
      </c>
      <c r="E33" s="45" t="str">
        <f aca="false">IF($B33="","",SUMIFS(Lançamentos!$G$5:$G$1004,Lançamentos!$B$5:$B$1004,$B33,Lançamentos!$H$5:$H$1004,E$23))</f>
        <v/>
      </c>
      <c r="F33" s="45" t="str">
        <f aca="false">IF($B33="","",SUMIFS(Lançamentos!$G$5:$G$1004,Lançamentos!$B$5:$B$1004,$B33,Lançamentos!$H$5:$H$1004,F$23))</f>
        <v/>
      </c>
      <c r="G33" s="45" t="str">
        <f aca="false">IF($B33="","",SUMIFS(Lançamentos!$G$5:$G$1004,Lançamentos!$B$5:$B$1004,$B33,Lançamentos!$H$5:$H$1004,G$23))</f>
        <v/>
      </c>
      <c r="H33" s="45" t="str">
        <f aca="false">IF($B33="","",SUMIFS(Lançamentos!$G$5:$G$1004,Lançamentos!$B$5:$B$1004,$B33,Lançamentos!$H$5:$H$1004,H$23))</f>
        <v/>
      </c>
      <c r="I33" s="45" t="str">
        <f aca="false">IF($B33="","",SUMIFS(Lançamentos!$G$5:$G$1004,Lançamentos!$B$5:$B$1004,$B33,Lançamentos!$H$5:$H$1004,I$23))</f>
        <v/>
      </c>
      <c r="J33" s="45" t="str">
        <f aca="false">IF($B33="","",SUMIFS(Lançamentos!$G$5:$G$1004,Lançamentos!$B$5:$B$1004,$B33,Lançamentos!$H$5:$H$1004,J$23))</f>
        <v/>
      </c>
      <c r="K33" s="45" t="str">
        <f aca="false">IF($B33="","",SUMIFS(Lançamentos!$G$5:$G$1004,Lançamentos!$B$5:$B$1004,$B33,Lançamentos!$H$5:$H$1004,K$23))</f>
        <v/>
      </c>
      <c r="L33" s="45" t="str">
        <f aca="false">IF($B33="","",SUMIFS(Lançamentos!$G$5:$G$1004,Lançamentos!$B$5:$B$1004,$B33,Lançamentos!$H$5:$H$1004,L$23))</f>
        <v/>
      </c>
      <c r="M33" s="45" t="str">
        <f aca="false">IF($B33="","",SUMIFS(Lançamentos!$G$5:$G$1004,Lançamentos!$B$5:$B$1004,$B33,Lançamentos!$H$5:$H$1004,M$23))</f>
        <v/>
      </c>
      <c r="N33" s="45" t="str">
        <f aca="false">IF($B33="","",SUMIFS(Lançamentos!$G$5:$G$1004,Lançamentos!$B$5:$B$1004,$B33,Lançamentos!$H$5:$H$1004,N$23))</f>
        <v/>
      </c>
      <c r="O33" s="46" t="str">
        <f aca="false">IF($B33="","",SUM(C33:N33))</f>
        <v/>
      </c>
    </row>
    <row r="34" customFormat="false" ht="15" hidden="false" customHeight="false" outlineLevel="0" collapsed="false">
      <c r="B34" s="47" t="s">
        <v>145</v>
      </c>
      <c r="C34" s="47" t="n">
        <f aca="false">SUM(C24:C33)</f>
        <v>600</v>
      </c>
      <c r="D34" s="47" t="n">
        <f aca="false">SUM(D24:D33)</f>
        <v>0</v>
      </c>
      <c r="E34" s="47" t="n">
        <f aca="false">SUM(E24:E33)</f>
        <v>0</v>
      </c>
      <c r="F34" s="47" t="n">
        <f aca="false">SUM(F24:F33)</f>
        <v>0</v>
      </c>
      <c r="G34" s="47" t="n">
        <f aca="false">SUM(G24:G33)</f>
        <v>0</v>
      </c>
      <c r="H34" s="47" t="n">
        <f aca="false">SUM(H24:H33)</f>
        <v>0</v>
      </c>
      <c r="I34" s="47" t="n">
        <f aca="false">SUM(I24:I33)</f>
        <v>0</v>
      </c>
      <c r="J34" s="47" t="n">
        <f aca="false">SUM(J24:J33)</f>
        <v>0</v>
      </c>
      <c r="K34" s="47" t="n">
        <f aca="false">SUM(K24:K33)</f>
        <v>0</v>
      </c>
      <c r="L34" s="47" t="n">
        <f aca="false">SUM(L24:L33)</f>
        <v>0</v>
      </c>
      <c r="M34" s="47" t="n">
        <f aca="false">SUM(M24:M33)</f>
        <v>0</v>
      </c>
      <c r="N34" s="47" t="n">
        <f aca="false">SUM(N24:N33)</f>
        <v>0</v>
      </c>
      <c r="O34" s="47" t="n">
        <f aca="false">SUM(O24:O33)</f>
        <v>600</v>
      </c>
    </row>
    <row r="37" customFormat="false" ht="15" hidden="false" customHeight="false" outlineLevel="0" collapsed="false">
      <c r="B37" s="3" t="s">
        <v>146</v>
      </c>
    </row>
    <row r="38" customFormat="false" ht="30" hidden="false" customHeight="true" outlineLevel="0" collapsed="false">
      <c r="B38" s="21" t="s">
        <v>58</v>
      </c>
      <c r="C38" s="44" t="n">
        <f aca="false">$B$7</f>
        <v>46327</v>
      </c>
      <c r="D38" s="44" t="n">
        <f aca="false">$B$8</f>
        <v>46357</v>
      </c>
      <c r="E38" s="44" t="n">
        <f aca="false">$B$9</f>
        <v>46388</v>
      </c>
      <c r="F38" s="44" t="n">
        <f aca="false">$B$10</f>
        <v>46419</v>
      </c>
      <c r="G38" s="44" t="n">
        <f aca="false">$B$11</f>
        <v>46447</v>
      </c>
      <c r="H38" s="44" t="n">
        <f aca="false">$B$12</f>
        <v>46478</v>
      </c>
      <c r="I38" s="44" t="n">
        <f aca="false">$B$13</f>
        <v>46508</v>
      </c>
      <c r="J38" s="44" t="n">
        <f aca="false">$B$14</f>
        <v>46539</v>
      </c>
      <c r="K38" s="44" t="n">
        <f aca="false">$B$15</f>
        <v>46569</v>
      </c>
      <c r="L38" s="44" t="n">
        <f aca="false">$B$16</f>
        <v>46600</v>
      </c>
      <c r="M38" s="44" t="n">
        <f aca="false">$B$17</f>
        <v>46631</v>
      </c>
      <c r="N38" s="44" t="n">
        <f aca="false">$B$18</f>
        <v>46661</v>
      </c>
      <c r="O38" s="21" t="s">
        <v>54</v>
      </c>
    </row>
    <row r="39" customFormat="false" ht="15" hidden="false" customHeight="false" outlineLevel="0" collapsed="false">
      <c r="B39" s="6" t="str">
        <f aca="false">IFERROR(INDEX(Listas!$B$5:$B$40,MATCH(ROWS($B$39:B39),Listas!$E$5:$E$40,0)),"")</f>
        <v>Inteligência artificial</v>
      </c>
      <c r="C39" s="45" t="n">
        <f aca="false">IF($B39="","",SUMIFS(Lançamentos!$G$5:$G$1004,Lançamentos!$B$5:$B$1004,$B39,Lançamentos!$H$5:$H$1004,C$38))</f>
        <v>114</v>
      </c>
      <c r="D39" s="45" t="n">
        <f aca="false">IF($B39="","",SUMIFS(Lançamentos!$G$5:$G$1004,Lançamentos!$B$5:$B$1004,$B39,Lançamentos!$H$5:$H$1004,D$38))</f>
        <v>0</v>
      </c>
      <c r="E39" s="45" t="n">
        <f aca="false">IF($B39="","",SUMIFS(Lançamentos!$G$5:$G$1004,Lançamentos!$B$5:$B$1004,$B39,Lançamentos!$H$5:$H$1004,E$38))</f>
        <v>0</v>
      </c>
      <c r="F39" s="45" t="n">
        <f aca="false">IF($B39="","",SUMIFS(Lançamentos!$G$5:$G$1004,Lançamentos!$B$5:$B$1004,$B39,Lançamentos!$H$5:$H$1004,F$38))</f>
        <v>0</v>
      </c>
      <c r="G39" s="45" t="n">
        <f aca="false">IF($B39="","",SUMIFS(Lançamentos!$G$5:$G$1004,Lançamentos!$B$5:$B$1004,$B39,Lançamentos!$H$5:$H$1004,G$38))</f>
        <v>0</v>
      </c>
      <c r="H39" s="45" t="n">
        <f aca="false">IF($B39="","",SUMIFS(Lançamentos!$G$5:$G$1004,Lançamentos!$B$5:$B$1004,$B39,Lançamentos!$H$5:$H$1004,H$38))</f>
        <v>0</v>
      </c>
      <c r="I39" s="45" t="n">
        <f aca="false">IF($B39="","",SUMIFS(Lançamentos!$G$5:$G$1004,Lançamentos!$B$5:$B$1004,$B39,Lançamentos!$H$5:$H$1004,I$38))</f>
        <v>0</v>
      </c>
      <c r="J39" s="45" t="n">
        <f aca="false">IF($B39="","",SUMIFS(Lançamentos!$G$5:$G$1004,Lançamentos!$B$5:$B$1004,$B39,Lançamentos!$H$5:$H$1004,J$38))</f>
        <v>0</v>
      </c>
      <c r="K39" s="45" t="n">
        <f aca="false">IF($B39="","",SUMIFS(Lançamentos!$G$5:$G$1004,Lançamentos!$B$5:$B$1004,$B39,Lançamentos!$H$5:$H$1004,K$38))</f>
        <v>0</v>
      </c>
      <c r="L39" s="45" t="n">
        <f aca="false">IF($B39="","",SUMIFS(Lançamentos!$G$5:$G$1004,Lançamentos!$B$5:$B$1004,$B39,Lançamentos!$H$5:$H$1004,L$38))</f>
        <v>0</v>
      </c>
      <c r="M39" s="45" t="n">
        <f aca="false">IF($B39="","",SUMIFS(Lançamentos!$G$5:$G$1004,Lançamentos!$B$5:$B$1004,$B39,Lançamentos!$H$5:$H$1004,M$38))</f>
        <v>0</v>
      </c>
      <c r="N39" s="45" t="n">
        <f aca="false">IF($B39="","",SUMIFS(Lançamentos!$G$5:$G$1004,Lançamentos!$B$5:$B$1004,$B39,Lançamentos!$H$5:$H$1004,N$38))</f>
        <v>0</v>
      </c>
      <c r="O39" s="46" t="n">
        <f aca="false">IF($B39="","",SUM(C39:N39))</f>
        <v>114</v>
      </c>
    </row>
    <row r="40" customFormat="false" ht="15" hidden="false" customHeight="false" outlineLevel="0" collapsed="false">
      <c r="B40" s="6" t="str">
        <f aca="false">IFERROR(INDEX(Listas!$B$5:$B$40,MATCH(ROWS($B$39:B40),Listas!$E$5:$E$40,0)),"")</f>
        <v>Domínios</v>
      </c>
      <c r="C40" s="45" t="n">
        <f aca="false">IF($B40="","",SUMIFS(Lançamentos!$G$5:$G$1004,Lançamentos!$B$5:$B$1004,$B40,Lançamentos!$H$5:$H$1004,C$38))</f>
        <v>0</v>
      </c>
      <c r="D40" s="45" t="n">
        <f aca="false">IF($B40="","",SUMIFS(Lançamentos!$G$5:$G$1004,Lançamentos!$B$5:$B$1004,$B40,Lançamentos!$H$5:$H$1004,D$38))</f>
        <v>0</v>
      </c>
      <c r="E40" s="45" t="n">
        <f aca="false">IF($B40="","",SUMIFS(Lançamentos!$G$5:$G$1004,Lançamentos!$B$5:$B$1004,$B40,Lançamentos!$H$5:$H$1004,E$38))</f>
        <v>0</v>
      </c>
      <c r="F40" s="45" t="n">
        <f aca="false">IF($B40="","",SUMIFS(Lançamentos!$G$5:$G$1004,Lançamentos!$B$5:$B$1004,$B40,Lançamentos!$H$5:$H$1004,F$38))</f>
        <v>0</v>
      </c>
      <c r="G40" s="45" t="n">
        <f aca="false">IF($B40="","",SUMIFS(Lançamentos!$G$5:$G$1004,Lançamentos!$B$5:$B$1004,$B40,Lançamentos!$H$5:$H$1004,G$38))</f>
        <v>0</v>
      </c>
      <c r="H40" s="45" t="n">
        <f aca="false">IF($B40="","",SUMIFS(Lançamentos!$G$5:$G$1004,Lançamentos!$B$5:$B$1004,$B40,Lançamentos!$H$5:$H$1004,H$38))</f>
        <v>0</v>
      </c>
      <c r="I40" s="45" t="n">
        <f aca="false">IF($B40="","",SUMIFS(Lançamentos!$G$5:$G$1004,Lançamentos!$B$5:$B$1004,$B40,Lançamentos!$H$5:$H$1004,I$38))</f>
        <v>0</v>
      </c>
      <c r="J40" s="45" t="n">
        <f aca="false">IF($B40="","",SUMIFS(Lançamentos!$G$5:$G$1004,Lançamentos!$B$5:$B$1004,$B40,Lançamentos!$H$5:$H$1004,J$38))</f>
        <v>0</v>
      </c>
      <c r="K40" s="45" t="n">
        <f aca="false">IF($B40="","",SUMIFS(Lançamentos!$G$5:$G$1004,Lançamentos!$B$5:$B$1004,$B40,Lançamentos!$H$5:$H$1004,K$38))</f>
        <v>0</v>
      </c>
      <c r="L40" s="45" t="n">
        <f aca="false">IF($B40="","",SUMIFS(Lançamentos!$G$5:$G$1004,Lançamentos!$B$5:$B$1004,$B40,Lançamentos!$H$5:$H$1004,L$38))</f>
        <v>0</v>
      </c>
      <c r="M40" s="45" t="n">
        <f aca="false">IF($B40="","",SUMIFS(Lançamentos!$G$5:$G$1004,Lançamentos!$B$5:$B$1004,$B40,Lançamentos!$H$5:$H$1004,M$38))</f>
        <v>0</v>
      </c>
      <c r="N40" s="45" t="n">
        <f aca="false">IF($B40="","",SUMIFS(Lançamentos!$G$5:$G$1004,Lançamentos!$B$5:$B$1004,$B40,Lançamentos!$H$5:$H$1004,N$38))</f>
        <v>0</v>
      </c>
      <c r="O40" s="46" t="n">
        <f aca="false">IF($B40="","",SUM(C40:N40))</f>
        <v>0</v>
      </c>
    </row>
    <row r="41" customFormat="false" ht="15" hidden="false" customHeight="false" outlineLevel="0" collapsed="false">
      <c r="B41" s="6" t="str">
        <f aca="false">IFERROR(INDEX(Listas!$B$5:$B$40,MATCH(ROWS($B$39:B41),Listas!$E$5:$E$40,0)),"")</f>
        <v>Hospedagem</v>
      </c>
      <c r="C41" s="45" t="n">
        <f aca="false">IF($B41="","",SUMIFS(Lançamentos!$G$5:$G$1004,Lançamentos!$B$5:$B$1004,$B41,Lançamentos!$H$5:$H$1004,C$38))</f>
        <v>0</v>
      </c>
      <c r="D41" s="45" t="n">
        <f aca="false">IF($B41="","",SUMIFS(Lançamentos!$G$5:$G$1004,Lançamentos!$B$5:$B$1004,$B41,Lançamentos!$H$5:$H$1004,D$38))</f>
        <v>0</v>
      </c>
      <c r="E41" s="45" t="n">
        <f aca="false">IF($B41="","",SUMIFS(Lançamentos!$G$5:$G$1004,Lançamentos!$B$5:$B$1004,$B41,Lançamentos!$H$5:$H$1004,E$38))</f>
        <v>0</v>
      </c>
      <c r="F41" s="45" t="n">
        <f aca="false">IF($B41="","",SUMIFS(Lançamentos!$G$5:$G$1004,Lançamentos!$B$5:$B$1004,$B41,Lançamentos!$H$5:$H$1004,F$38))</f>
        <v>0</v>
      </c>
      <c r="G41" s="45" t="n">
        <f aca="false">IF($B41="","",SUMIFS(Lançamentos!$G$5:$G$1004,Lançamentos!$B$5:$B$1004,$B41,Lançamentos!$H$5:$H$1004,G$38))</f>
        <v>0</v>
      </c>
      <c r="H41" s="45" t="n">
        <f aca="false">IF($B41="","",SUMIFS(Lançamentos!$G$5:$G$1004,Lançamentos!$B$5:$B$1004,$B41,Lançamentos!$H$5:$H$1004,H$38))</f>
        <v>0</v>
      </c>
      <c r="I41" s="45" t="n">
        <f aca="false">IF($B41="","",SUMIFS(Lançamentos!$G$5:$G$1004,Lançamentos!$B$5:$B$1004,$B41,Lançamentos!$H$5:$H$1004,I$38))</f>
        <v>0</v>
      </c>
      <c r="J41" s="45" t="n">
        <f aca="false">IF($B41="","",SUMIFS(Lançamentos!$G$5:$G$1004,Lançamentos!$B$5:$B$1004,$B41,Lançamentos!$H$5:$H$1004,J$38))</f>
        <v>0</v>
      </c>
      <c r="K41" s="45" t="n">
        <f aca="false">IF($B41="","",SUMIFS(Lançamentos!$G$5:$G$1004,Lançamentos!$B$5:$B$1004,$B41,Lançamentos!$H$5:$H$1004,K$38))</f>
        <v>0</v>
      </c>
      <c r="L41" s="45" t="n">
        <f aca="false">IF($B41="","",SUMIFS(Lançamentos!$G$5:$G$1004,Lançamentos!$B$5:$B$1004,$B41,Lançamentos!$H$5:$H$1004,L$38))</f>
        <v>0</v>
      </c>
      <c r="M41" s="45" t="n">
        <f aca="false">IF($B41="","",SUMIFS(Lançamentos!$G$5:$G$1004,Lançamentos!$B$5:$B$1004,$B41,Lançamentos!$H$5:$H$1004,M$38))</f>
        <v>0</v>
      </c>
      <c r="N41" s="45" t="n">
        <f aca="false">IF($B41="","",SUMIFS(Lançamentos!$G$5:$G$1004,Lançamentos!$B$5:$B$1004,$B41,Lançamentos!$H$5:$H$1004,N$38))</f>
        <v>0</v>
      </c>
      <c r="O41" s="46" t="n">
        <f aca="false">IF($B41="","",SUM(C41:N41))</f>
        <v>0</v>
      </c>
    </row>
    <row r="42" customFormat="false" ht="15" hidden="false" customHeight="false" outlineLevel="0" collapsed="false">
      <c r="B42" s="6" t="str">
        <f aca="false">IFERROR(INDEX(Listas!$B$5:$B$40,MATCH(ROWS($B$39:B42),Listas!$E$5:$E$40,0)),"")</f>
        <v>Shopify e plataformas</v>
      </c>
      <c r="C42" s="45" t="n">
        <f aca="false">IF($B42="","",SUMIFS(Lançamentos!$G$5:$G$1004,Lançamentos!$B$5:$B$1004,$B42,Lançamentos!$H$5:$H$1004,C$38))</f>
        <v>0</v>
      </c>
      <c r="D42" s="45" t="n">
        <f aca="false">IF($B42="","",SUMIFS(Lançamentos!$G$5:$G$1004,Lançamentos!$B$5:$B$1004,$B42,Lançamentos!$H$5:$H$1004,D$38))</f>
        <v>0</v>
      </c>
      <c r="E42" s="45" t="n">
        <f aca="false">IF($B42="","",SUMIFS(Lançamentos!$G$5:$G$1004,Lançamentos!$B$5:$B$1004,$B42,Lançamentos!$H$5:$H$1004,E$38))</f>
        <v>0</v>
      </c>
      <c r="F42" s="45" t="n">
        <f aca="false">IF($B42="","",SUMIFS(Lançamentos!$G$5:$G$1004,Lançamentos!$B$5:$B$1004,$B42,Lançamentos!$H$5:$H$1004,F$38))</f>
        <v>0</v>
      </c>
      <c r="G42" s="45" t="n">
        <f aca="false">IF($B42="","",SUMIFS(Lançamentos!$G$5:$G$1004,Lançamentos!$B$5:$B$1004,$B42,Lançamentos!$H$5:$H$1004,G$38))</f>
        <v>0</v>
      </c>
      <c r="H42" s="45" t="n">
        <f aca="false">IF($B42="","",SUMIFS(Lançamentos!$G$5:$G$1004,Lançamentos!$B$5:$B$1004,$B42,Lançamentos!$H$5:$H$1004,H$38))</f>
        <v>0</v>
      </c>
      <c r="I42" s="45" t="n">
        <f aca="false">IF($B42="","",SUMIFS(Lançamentos!$G$5:$G$1004,Lançamentos!$B$5:$B$1004,$B42,Lançamentos!$H$5:$H$1004,I$38))</f>
        <v>0</v>
      </c>
      <c r="J42" s="45" t="n">
        <f aca="false">IF($B42="","",SUMIFS(Lançamentos!$G$5:$G$1004,Lançamentos!$B$5:$B$1004,$B42,Lançamentos!$H$5:$H$1004,J$38))</f>
        <v>0</v>
      </c>
      <c r="K42" s="45" t="n">
        <f aca="false">IF($B42="","",SUMIFS(Lançamentos!$G$5:$G$1004,Lançamentos!$B$5:$B$1004,$B42,Lançamentos!$H$5:$H$1004,K$38))</f>
        <v>0</v>
      </c>
      <c r="L42" s="45" t="n">
        <f aca="false">IF($B42="","",SUMIFS(Lançamentos!$G$5:$G$1004,Lançamentos!$B$5:$B$1004,$B42,Lançamentos!$H$5:$H$1004,L$38))</f>
        <v>0</v>
      </c>
      <c r="M42" s="45" t="n">
        <f aca="false">IF($B42="","",SUMIFS(Lançamentos!$G$5:$G$1004,Lançamentos!$B$5:$B$1004,$B42,Lançamentos!$H$5:$H$1004,M$38))</f>
        <v>0</v>
      </c>
      <c r="N42" s="45" t="n">
        <f aca="false">IF($B42="","",SUMIFS(Lançamentos!$G$5:$G$1004,Lançamentos!$B$5:$B$1004,$B42,Lançamentos!$H$5:$H$1004,N$38))</f>
        <v>0</v>
      </c>
      <c r="O42" s="46" t="n">
        <f aca="false">IF($B42="","",SUM(C42:N42))</f>
        <v>0</v>
      </c>
    </row>
    <row r="43" customFormat="false" ht="15" hidden="false" customHeight="false" outlineLevel="0" collapsed="false">
      <c r="B43" s="6" t="str">
        <f aca="false">IFERROR(INDEX(Listas!$B$5:$B$40,MATCH(ROWS($B$39:B43),Listas!$E$5:$E$40,0)),"")</f>
        <v>Ferramentas e apps</v>
      </c>
      <c r="C43" s="45" t="n">
        <f aca="false">IF($B43="","",SUMIFS(Lançamentos!$G$5:$G$1004,Lançamentos!$B$5:$B$1004,$B43,Lançamentos!$H$5:$H$1004,C$38))</f>
        <v>0</v>
      </c>
      <c r="D43" s="45" t="n">
        <f aca="false">IF($B43="","",SUMIFS(Lançamentos!$G$5:$G$1004,Lançamentos!$B$5:$B$1004,$B43,Lançamentos!$H$5:$H$1004,D$38))</f>
        <v>0</v>
      </c>
      <c r="E43" s="45" t="n">
        <f aca="false">IF($B43="","",SUMIFS(Lançamentos!$G$5:$G$1004,Lançamentos!$B$5:$B$1004,$B43,Lançamentos!$H$5:$H$1004,E$38))</f>
        <v>0</v>
      </c>
      <c r="F43" s="45" t="n">
        <f aca="false">IF($B43="","",SUMIFS(Lançamentos!$G$5:$G$1004,Lançamentos!$B$5:$B$1004,$B43,Lançamentos!$H$5:$H$1004,F$38))</f>
        <v>0</v>
      </c>
      <c r="G43" s="45" t="n">
        <f aca="false">IF($B43="","",SUMIFS(Lançamentos!$G$5:$G$1004,Lançamentos!$B$5:$B$1004,$B43,Lançamentos!$H$5:$H$1004,G$38))</f>
        <v>0</v>
      </c>
      <c r="H43" s="45" t="n">
        <f aca="false">IF($B43="","",SUMIFS(Lançamentos!$G$5:$G$1004,Lançamentos!$B$5:$B$1004,$B43,Lançamentos!$H$5:$H$1004,H$38))</f>
        <v>0</v>
      </c>
      <c r="I43" s="45" t="n">
        <f aca="false">IF($B43="","",SUMIFS(Lançamentos!$G$5:$G$1004,Lançamentos!$B$5:$B$1004,$B43,Lançamentos!$H$5:$H$1004,I$38))</f>
        <v>0</v>
      </c>
      <c r="J43" s="45" t="n">
        <f aca="false">IF($B43="","",SUMIFS(Lançamentos!$G$5:$G$1004,Lançamentos!$B$5:$B$1004,$B43,Lançamentos!$H$5:$H$1004,J$38))</f>
        <v>0</v>
      </c>
      <c r="K43" s="45" t="n">
        <f aca="false">IF($B43="","",SUMIFS(Lançamentos!$G$5:$G$1004,Lançamentos!$B$5:$B$1004,$B43,Lançamentos!$H$5:$H$1004,K$38))</f>
        <v>0</v>
      </c>
      <c r="L43" s="45" t="n">
        <f aca="false">IF($B43="","",SUMIFS(Lançamentos!$G$5:$G$1004,Lançamentos!$B$5:$B$1004,$B43,Lançamentos!$H$5:$H$1004,L$38))</f>
        <v>0</v>
      </c>
      <c r="M43" s="45" t="n">
        <f aca="false">IF($B43="","",SUMIFS(Lançamentos!$G$5:$G$1004,Lançamentos!$B$5:$B$1004,$B43,Lançamentos!$H$5:$H$1004,M$38))</f>
        <v>0</v>
      </c>
      <c r="N43" s="45" t="n">
        <f aca="false">IF($B43="","",SUMIFS(Lançamentos!$G$5:$G$1004,Lançamentos!$B$5:$B$1004,$B43,Lançamentos!$H$5:$H$1004,N$38))</f>
        <v>0</v>
      </c>
      <c r="O43" s="46" t="n">
        <f aca="false">IF($B43="","",SUM(C43:N43))</f>
        <v>0</v>
      </c>
    </row>
    <row r="44" customFormat="false" ht="15" hidden="false" customHeight="false" outlineLevel="0" collapsed="false">
      <c r="B44" s="6" t="str">
        <f aca="false">IFERROR(INDEX(Listas!$B$5:$B$40,MATCH(ROWS($B$39:B44),Listas!$E$5:$E$40,0)),"")</f>
        <v>Anúncios e marketing</v>
      </c>
      <c r="C44" s="45" t="n">
        <f aca="false">IF($B44="","",SUMIFS(Lançamentos!$G$5:$G$1004,Lançamentos!$B$5:$B$1004,$B44,Lançamentos!$H$5:$H$1004,C$38))</f>
        <v>0</v>
      </c>
      <c r="D44" s="45" t="n">
        <f aca="false">IF($B44="","",SUMIFS(Lançamentos!$G$5:$G$1004,Lançamentos!$B$5:$B$1004,$B44,Lançamentos!$H$5:$H$1004,D$38))</f>
        <v>0</v>
      </c>
      <c r="E44" s="45" t="n">
        <f aca="false">IF($B44="","",SUMIFS(Lançamentos!$G$5:$G$1004,Lançamentos!$B$5:$B$1004,$B44,Lançamentos!$H$5:$H$1004,E$38))</f>
        <v>0</v>
      </c>
      <c r="F44" s="45" t="n">
        <f aca="false">IF($B44="","",SUMIFS(Lançamentos!$G$5:$G$1004,Lançamentos!$B$5:$B$1004,$B44,Lançamentos!$H$5:$H$1004,F$38))</f>
        <v>0</v>
      </c>
      <c r="G44" s="45" t="n">
        <f aca="false">IF($B44="","",SUMIFS(Lançamentos!$G$5:$G$1004,Lançamentos!$B$5:$B$1004,$B44,Lançamentos!$H$5:$H$1004,G$38))</f>
        <v>0</v>
      </c>
      <c r="H44" s="45" t="n">
        <f aca="false">IF($B44="","",SUMIFS(Lançamentos!$G$5:$G$1004,Lançamentos!$B$5:$B$1004,$B44,Lançamentos!$H$5:$H$1004,H$38))</f>
        <v>0</v>
      </c>
      <c r="I44" s="45" t="n">
        <f aca="false">IF($B44="","",SUMIFS(Lançamentos!$G$5:$G$1004,Lançamentos!$B$5:$B$1004,$B44,Lançamentos!$H$5:$H$1004,I$38))</f>
        <v>0</v>
      </c>
      <c r="J44" s="45" t="n">
        <f aca="false">IF($B44="","",SUMIFS(Lançamentos!$G$5:$G$1004,Lançamentos!$B$5:$B$1004,$B44,Lançamentos!$H$5:$H$1004,J$38))</f>
        <v>0</v>
      </c>
      <c r="K44" s="45" t="n">
        <f aca="false">IF($B44="","",SUMIFS(Lançamentos!$G$5:$G$1004,Lançamentos!$B$5:$B$1004,$B44,Lançamentos!$H$5:$H$1004,K$38))</f>
        <v>0</v>
      </c>
      <c r="L44" s="45" t="n">
        <f aca="false">IF($B44="","",SUMIFS(Lançamentos!$G$5:$G$1004,Lançamentos!$B$5:$B$1004,$B44,Lançamentos!$H$5:$H$1004,L$38))</f>
        <v>0</v>
      </c>
      <c r="M44" s="45" t="n">
        <f aca="false">IF($B44="","",SUMIFS(Lançamentos!$G$5:$G$1004,Lançamentos!$B$5:$B$1004,$B44,Lançamentos!$H$5:$H$1004,M$38))</f>
        <v>0</v>
      </c>
      <c r="N44" s="45" t="n">
        <f aca="false">IF($B44="","",SUMIFS(Lançamentos!$G$5:$G$1004,Lançamentos!$B$5:$B$1004,$B44,Lançamentos!$H$5:$H$1004,N$38))</f>
        <v>0</v>
      </c>
      <c r="O44" s="46" t="n">
        <f aca="false">IF($B44="","",SUM(C44:N44))</f>
        <v>0</v>
      </c>
    </row>
    <row r="45" customFormat="false" ht="15" hidden="false" customHeight="false" outlineLevel="0" collapsed="false">
      <c r="B45" s="6" t="str">
        <f aca="false">IFERROR(INDEX(Listas!$B$5:$B$40,MATCH(ROWS($B$39:B45),Listas!$E$5:$E$40,0)),"")</f>
        <v>Impostos (MEI / DAS)</v>
      </c>
      <c r="C45" s="45" t="n">
        <f aca="false">IF($B45="","",SUMIFS(Lançamentos!$G$5:$G$1004,Lançamentos!$B$5:$B$1004,$B45,Lançamentos!$H$5:$H$1004,C$38))</f>
        <v>0</v>
      </c>
      <c r="D45" s="45" t="n">
        <f aca="false">IF($B45="","",SUMIFS(Lançamentos!$G$5:$G$1004,Lançamentos!$B$5:$B$1004,$B45,Lançamentos!$H$5:$H$1004,D$38))</f>
        <v>0</v>
      </c>
      <c r="E45" s="45" t="n">
        <f aca="false">IF($B45="","",SUMIFS(Lançamentos!$G$5:$G$1004,Lançamentos!$B$5:$B$1004,$B45,Lançamentos!$H$5:$H$1004,E$38))</f>
        <v>0</v>
      </c>
      <c r="F45" s="45" t="n">
        <f aca="false">IF($B45="","",SUMIFS(Lançamentos!$G$5:$G$1004,Lançamentos!$B$5:$B$1004,$B45,Lançamentos!$H$5:$H$1004,F$38))</f>
        <v>0</v>
      </c>
      <c r="G45" s="45" t="n">
        <f aca="false">IF($B45="","",SUMIFS(Lançamentos!$G$5:$G$1004,Lançamentos!$B$5:$B$1004,$B45,Lançamentos!$H$5:$H$1004,G$38))</f>
        <v>0</v>
      </c>
      <c r="H45" s="45" t="n">
        <f aca="false">IF($B45="","",SUMIFS(Lançamentos!$G$5:$G$1004,Lançamentos!$B$5:$B$1004,$B45,Lançamentos!$H$5:$H$1004,H$38))</f>
        <v>0</v>
      </c>
      <c r="I45" s="45" t="n">
        <f aca="false">IF($B45="","",SUMIFS(Lançamentos!$G$5:$G$1004,Lançamentos!$B$5:$B$1004,$B45,Lançamentos!$H$5:$H$1004,I$38))</f>
        <v>0</v>
      </c>
      <c r="J45" s="45" t="n">
        <f aca="false">IF($B45="","",SUMIFS(Lançamentos!$G$5:$G$1004,Lançamentos!$B$5:$B$1004,$B45,Lançamentos!$H$5:$H$1004,J$38))</f>
        <v>0</v>
      </c>
      <c r="K45" s="45" t="n">
        <f aca="false">IF($B45="","",SUMIFS(Lançamentos!$G$5:$G$1004,Lançamentos!$B$5:$B$1004,$B45,Lançamentos!$H$5:$H$1004,K$38))</f>
        <v>0</v>
      </c>
      <c r="L45" s="45" t="n">
        <f aca="false">IF($B45="","",SUMIFS(Lançamentos!$G$5:$G$1004,Lançamentos!$B$5:$B$1004,$B45,Lançamentos!$H$5:$H$1004,L$38))</f>
        <v>0</v>
      </c>
      <c r="M45" s="45" t="n">
        <f aca="false">IF($B45="","",SUMIFS(Lançamentos!$G$5:$G$1004,Lançamentos!$B$5:$B$1004,$B45,Lançamentos!$H$5:$H$1004,M$38))</f>
        <v>0</v>
      </c>
      <c r="N45" s="45" t="n">
        <f aca="false">IF($B45="","",SUMIFS(Lançamentos!$G$5:$G$1004,Lançamentos!$B$5:$B$1004,$B45,Lançamentos!$H$5:$H$1004,N$38))</f>
        <v>0</v>
      </c>
      <c r="O45" s="46" t="n">
        <f aca="false">IF($B45="","",SUM(C45:N45))</f>
        <v>0</v>
      </c>
    </row>
    <row r="46" customFormat="false" ht="15" hidden="false" customHeight="false" outlineLevel="0" collapsed="false">
      <c r="B46" s="6" t="str">
        <f aca="false">IFERROR(INDEX(Listas!$B$5:$B$40,MATCH(ROWS($B$39:B46),Listas!$E$5:$E$40,0)),"")</f>
        <v>Taxas de pagamento</v>
      </c>
      <c r="C46" s="45" t="n">
        <f aca="false">IF($B46="","",SUMIFS(Lançamentos!$G$5:$G$1004,Lançamentos!$B$5:$B$1004,$B46,Lançamentos!$H$5:$H$1004,C$38))</f>
        <v>0</v>
      </c>
      <c r="D46" s="45" t="n">
        <f aca="false">IF($B46="","",SUMIFS(Lançamentos!$G$5:$G$1004,Lançamentos!$B$5:$B$1004,$B46,Lançamentos!$H$5:$H$1004,D$38))</f>
        <v>0</v>
      </c>
      <c r="E46" s="45" t="n">
        <f aca="false">IF($B46="","",SUMIFS(Lançamentos!$G$5:$G$1004,Lançamentos!$B$5:$B$1004,$B46,Lançamentos!$H$5:$H$1004,E$38))</f>
        <v>0</v>
      </c>
      <c r="F46" s="45" t="n">
        <f aca="false">IF($B46="","",SUMIFS(Lançamentos!$G$5:$G$1004,Lançamentos!$B$5:$B$1004,$B46,Lançamentos!$H$5:$H$1004,F$38))</f>
        <v>0</v>
      </c>
      <c r="G46" s="45" t="n">
        <f aca="false">IF($B46="","",SUMIFS(Lançamentos!$G$5:$G$1004,Lançamentos!$B$5:$B$1004,$B46,Lançamentos!$H$5:$H$1004,G$38))</f>
        <v>0</v>
      </c>
      <c r="H46" s="45" t="n">
        <f aca="false">IF($B46="","",SUMIFS(Lançamentos!$G$5:$G$1004,Lançamentos!$B$5:$B$1004,$B46,Lançamentos!$H$5:$H$1004,H$38))</f>
        <v>0</v>
      </c>
      <c r="I46" s="45" t="n">
        <f aca="false">IF($B46="","",SUMIFS(Lançamentos!$G$5:$G$1004,Lançamentos!$B$5:$B$1004,$B46,Lançamentos!$H$5:$H$1004,I$38))</f>
        <v>0</v>
      </c>
      <c r="J46" s="45" t="n">
        <f aca="false">IF($B46="","",SUMIFS(Lançamentos!$G$5:$G$1004,Lançamentos!$B$5:$B$1004,$B46,Lançamentos!$H$5:$H$1004,J$38))</f>
        <v>0</v>
      </c>
      <c r="K46" s="45" t="n">
        <f aca="false">IF($B46="","",SUMIFS(Lançamentos!$G$5:$G$1004,Lançamentos!$B$5:$B$1004,$B46,Lançamentos!$H$5:$H$1004,K$38))</f>
        <v>0</v>
      </c>
      <c r="L46" s="45" t="n">
        <f aca="false">IF($B46="","",SUMIFS(Lançamentos!$G$5:$G$1004,Lançamentos!$B$5:$B$1004,$B46,Lançamentos!$H$5:$H$1004,L$38))</f>
        <v>0</v>
      </c>
      <c r="M46" s="45" t="n">
        <f aca="false">IF($B46="","",SUMIFS(Lançamentos!$G$5:$G$1004,Lançamentos!$B$5:$B$1004,$B46,Lançamentos!$H$5:$H$1004,M$38))</f>
        <v>0</v>
      </c>
      <c r="N46" s="45" t="n">
        <f aca="false">IF($B46="","",SUMIFS(Lançamentos!$G$5:$G$1004,Lançamentos!$B$5:$B$1004,$B46,Lançamentos!$H$5:$H$1004,N$38))</f>
        <v>0</v>
      </c>
      <c r="O46" s="46" t="n">
        <f aca="false">IF($B46="","",SUM(C46:N46))</f>
        <v>0</v>
      </c>
    </row>
    <row r="47" customFormat="false" ht="15" hidden="false" customHeight="false" outlineLevel="0" collapsed="false">
      <c r="B47" s="6" t="str">
        <f aca="false">IFERROR(INDEX(Listas!$B$5:$B$40,MATCH(ROWS($B$39:B47),Listas!$E$5:$E$40,0)),"")</f>
        <v>Freelancers e terceiros</v>
      </c>
      <c r="C47" s="45" t="n">
        <f aca="false">IF($B47="","",SUMIFS(Lançamentos!$G$5:$G$1004,Lançamentos!$B$5:$B$1004,$B47,Lançamentos!$H$5:$H$1004,C$38))</f>
        <v>0</v>
      </c>
      <c r="D47" s="45" t="n">
        <f aca="false">IF($B47="","",SUMIFS(Lançamentos!$G$5:$G$1004,Lançamentos!$B$5:$B$1004,$B47,Lançamentos!$H$5:$H$1004,D$38))</f>
        <v>0</v>
      </c>
      <c r="E47" s="45" t="n">
        <f aca="false">IF($B47="","",SUMIFS(Lançamentos!$G$5:$G$1004,Lançamentos!$B$5:$B$1004,$B47,Lançamentos!$H$5:$H$1004,E$38))</f>
        <v>0</v>
      </c>
      <c r="F47" s="45" t="n">
        <f aca="false">IF($B47="","",SUMIFS(Lançamentos!$G$5:$G$1004,Lançamentos!$B$5:$B$1004,$B47,Lançamentos!$H$5:$H$1004,F$38))</f>
        <v>0</v>
      </c>
      <c r="G47" s="45" t="n">
        <f aca="false">IF($B47="","",SUMIFS(Lançamentos!$G$5:$G$1004,Lançamentos!$B$5:$B$1004,$B47,Lançamentos!$H$5:$H$1004,G$38))</f>
        <v>0</v>
      </c>
      <c r="H47" s="45" t="n">
        <f aca="false">IF($B47="","",SUMIFS(Lançamentos!$G$5:$G$1004,Lançamentos!$B$5:$B$1004,$B47,Lançamentos!$H$5:$H$1004,H$38))</f>
        <v>0</v>
      </c>
      <c r="I47" s="45" t="n">
        <f aca="false">IF($B47="","",SUMIFS(Lançamentos!$G$5:$G$1004,Lançamentos!$B$5:$B$1004,$B47,Lançamentos!$H$5:$H$1004,I$38))</f>
        <v>0</v>
      </c>
      <c r="J47" s="45" t="n">
        <f aca="false">IF($B47="","",SUMIFS(Lançamentos!$G$5:$G$1004,Lançamentos!$B$5:$B$1004,$B47,Lançamentos!$H$5:$H$1004,J$38))</f>
        <v>0</v>
      </c>
      <c r="K47" s="45" t="n">
        <f aca="false">IF($B47="","",SUMIFS(Lançamentos!$G$5:$G$1004,Lançamentos!$B$5:$B$1004,$B47,Lançamentos!$H$5:$H$1004,K$38))</f>
        <v>0</v>
      </c>
      <c r="L47" s="45" t="n">
        <f aca="false">IF($B47="","",SUMIFS(Lançamentos!$G$5:$G$1004,Lançamentos!$B$5:$B$1004,$B47,Lançamentos!$H$5:$H$1004,L$38))</f>
        <v>0</v>
      </c>
      <c r="M47" s="45" t="n">
        <f aca="false">IF($B47="","",SUMIFS(Lançamentos!$G$5:$G$1004,Lançamentos!$B$5:$B$1004,$B47,Lançamentos!$H$5:$H$1004,M$38))</f>
        <v>0</v>
      </c>
      <c r="N47" s="45" t="n">
        <f aca="false">IF($B47="","",SUMIFS(Lançamentos!$G$5:$G$1004,Lançamentos!$B$5:$B$1004,$B47,Lançamentos!$H$5:$H$1004,N$38))</f>
        <v>0</v>
      </c>
      <c r="O47" s="46" t="n">
        <f aca="false">IF($B47="","",SUM(C47:N47))</f>
        <v>0</v>
      </c>
    </row>
    <row r="48" customFormat="false" ht="15" hidden="false" customHeight="false" outlineLevel="0" collapsed="false">
      <c r="B48" s="6" t="str">
        <f aca="false">IFERROR(INDEX(Listas!$B$5:$B$40,MATCH(ROWS($B$39:B48),Listas!$E$5:$E$40,0)),"")</f>
        <v>Equipamentos</v>
      </c>
      <c r="C48" s="45" t="n">
        <f aca="false">IF($B48="","",SUMIFS(Lançamentos!$G$5:$G$1004,Lançamentos!$B$5:$B$1004,$B48,Lançamentos!$H$5:$H$1004,C$38))</f>
        <v>0</v>
      </c>
      <c r="D48" s="45" t="n">
        <f aca="false">IF($B48="","",SUMIFS(Lançamentos!$G$5:$G$1004,Lançamentos!$B$5:$B$1004,$B48,Lançamentos!$H$5:$H$1004,D$38))</f>
        <v>0</v>
      </c>
      <c r="E48" s="45" t="n">
        <f aca="false">IF($B48="","",SUMIFS(Lançamentos!$G$5:$G$1004,Lançamentos!$B$5:$B$1004,$B48,Lançamentos!$H$5:$H$1004,E$38))</f>
        <v>0</v>
      </c>
      <c r="F48" s="45" t="n">
        <f aca="false">IF($B48="","",SUMIFS(Lançamentos!$G$5:$G$1004,Lançamentos!$B$5:$B$1004,$B48,Lançamentos!$H$5:$H$1004,F$38))</f>
        <v>0</v>
      </c>
      <c r="G48" s="45" t="n">
        <f aca="false">IF($B48="","",SUMIFS(Lançamentos!$G$5:$G$1004,Lançamentos!$B$5:$B$1004,$B48,Lançamentos!$H$5:$H$1004,G$38))</f>
        <v>0</v>
      </c>
      <c r="H48" s="45" t="n">
        <f aca="false">IF($B48="","",SUMIFS(Lançamentos!$G$5:$G$1004,Lançamentos!$B$5:$B$1004,$B48,Lançamentos!$H$5:$H$1004,H$38))</f>
        <v>0</v>
      </c>
      <c r="I48" s="45" t="n">
        <f aca="false">IF($B48="","",SUMIFS(Lançamentos!$G$5:$G$1004,Lançamentos!$B$5:$B$1004,$B48,Lançamentos!$H$5:$H$1004,I$38))</f>
        <v>0</v>
      </c>
      <c r="J48" s="45" t="n">
        <f aca="false">IF($B48="","",SUMIFS(Lançamentos!$G$5:$G$1004,Lançamentos!$B$5:$B$1004,$B48,Lançamentos!$H$5:$H$1004,J$38))</f>
        <v>0</v>
      </c>
      <c r="K48" s="45" t="n">
        <f aca="false">IF($B48="","",SUMIFS(Lançamentos!$G$5:$G$1004,Lançamentos!$B$5:$B$1004,$B48,Lançamentos!$H$5:$H$1004,K$38))</f>
        <v>0</v>
      </c>
      <c r="L48" s="45" t="n">
        <f aca="false">IF($B48="","",SUMIFS(Lançamentos!$G$5:$G$1004,Lançamentos!$B$5:$B$1004,$B48,Lançamentos!$H$5:$H$1004,L$38))</f>
        <v>0</v>
      </c>
      <c r="M48" s="45" t="n">
        <f aca="false">IF($B48="","",SUMIFS(Lançamentos!$G$5:$G$1004,Lançamentos!$B$5:$B$1004,$B48,Lançamentos!$H$5:$H$1004,M$38))</f>
        <v>0</v>
      </c>
      <c r="N48" s="45" t="n">
        <f aca="false">IF($B48="","",SUMIFS(Lançamentos!$G$5:$G$1004,Lançamentos!$B$5:$B$1004,$B48,Lançamentos!$H$5:$H$1004,N$38))</f>
        <v>0</v>
      </c>
      <c r="O48" s="46" t="n">
        <f aca="false">IF($B48="","",SUM(C48:N48))</f>
        <v>0</v>
      </c>
    </row>
    <row r="49" customFormat="false" ht="15" hidden="false" customHeight="false" outlineLevel="0" collapsed="false">
      <c r="B49" s="6" t="str">
        <f aca="false">IFERROR(INDEX(Listas!$B$5:$B$40,MATCH(ROWS($B$39:B49),Listas!$E$5:$E$40,0)),"")</f>
        <v>Internet e celular</v>
      </c>
      <c r="C49" s="45" t="n">
        <f aca="false">IF($B49="","",SUMIFS(Lançamentos!$G$5:$G$1004,Lançamentos!$B$5:$B$1004,$B49,Lançamentos!$H$5:$H$1004,C$38))</f>
        <v>0</v>
      </c>
      <c r="D49" s="45" t="n">
        <f aca="false">IF($B49="","",SUMIFS(Lançamentos!$G$5:$G$1004,Lançamentos!$B$5:$B$1004,$B49,Lançamentos!$H$5:$H$1004,D$38))</f>
        <v>0</v>
      </c>
      <c r="E49" s="45" t="n">
        <f aca="false">IF($B49="","",SUMIFS(Lançamentos!$G$5:$G$1004,Lançamentos!$B$5:$B$1004,$B49,Lançamentos!$H$5:$H$1004,E$38))</f>
        <v>0</v>
      </c>
      <c r="F49" s="45" t="n">
        <f aca="false">IF($B49="","",SUMIFS(Lançamentos!$G$5:$G$1004,Lançamentos!$B$5:$B$1004,$B49,Lançamentos!$H$5:$H$1004,F$38))</f>
        <v>0</v>
      </c>
      <c r="G49" s="45" t="n">
        <f aca="false">IF($B49="","",SUMIFS(Lançamentos!$G$5:$G$1004,Lançamentos!$B$5:$B$1004,$B49,Lançamentos!$H$5:$H$1004,G$38))</f>
        <v>0</v>
      </c>
      <c r="H49" s="45" t="n">
        <f aca="false">IF($B49="","",SUMIFS(Lançamentos!$G$5:$G$1004,Lançamentos!$B$5:$B$1004,$B49,Lançamentos!$H$5:$H$1004,H$38))</f>
        <v>0</v>
      </c>
      <c r="I49" s="45" t="n">
        <f aca="false">IF($B49="","",SUMIFS(Lançamentos!$G$5:$G$1004,Lançamentos!$B$5:$B$1004,$B49,Lançamentos!$H$5:$H$1004,I$38))</f>
        <v>0</v>
      </c>
      <c r="J49" s="45" t="n">
        <f aca="false">IF($B49="","",SUMIFS(Lançamentos!$G$5:$G$1004,Lançamentos!$B$5:$B$1004,$B49,Lançamentos!$H$5:$H$1004,J$38))</f>
        <v>0</v>
      </c>
      <c r="K49" s="45" t="n">
        <f aca="false">IF($B49="","",SUMIFS(Lançamentos!$G$5:$G$1004,Lançamentos!$B$5:$B$1004,$B49,Lançamentos!$H$5:$H$1004,K$38))</f>
        <v>0</v>
      </c>
      <c r="L49" s="45" t="n">
        <f aca="false">IF($B49="","",SUMIFS(Lançamentos!$G$5:$G$1004,Lançamentos!$B$5:$B$1004,$B49,Lançamentos!$H$5:$H$1004,L$38))</f>
        <v>0</v>
      </c>
      <c r="M49" s="45" t="n">
        <f aca="false">IF($B49="","",SUMIFS(Lançamentos!$G$5:$G$1004,Lançamentos!$B$5:$B$1004,$B49,Lançamentos!$H$5:$H$1004,M$38))</f>
        <v>0</v>
      </c>
      <c r="N49" s="45" t="n">
        <f aca="false">IF($B49="","",SUMIFS(Lançamentos!$G$5:$G$1004,Lançamentos!$B$5:$B$1004,$B49,Lançamentos!$H$5:$H$1004,N$38))</f>
        <v>0</v>
      </c>
      <c r="O49" s="46" t="n">
        <f aca="false">IF($B49="","",SUM(C49:N49))</f>
        <v>0</v>
      </c>
    </row>
    <row r="50" customFormat="false" ht="15" hidden="false" customHeight="false" outlineLevel="0" collapsed="false">
      <c r="B50" s="6" t="str">
        <f aca="false">IFERROR(INDEX(Listas!$B$5:$B$40,MATCH(ROWS($B$39:B50),Listas!$E$5:$E$40,0)),"")</f>
        <v>Outras saídas</v>
      </c>
      <c r="C50" s="45" t="n">
        <f aca="false">IF($B50="","",SUMIFS(Lançamentos!$G$5:$G$1004,Lançamentos!$B$5:$B$1004,$B50,Lançamentos!$H$5:$H$1004,C$38))</f>
        <v>0</v>
      </c>
      <c r="D50" s="45" t="n">
        <f aca="false">IF($B50="","",SUMIFS(Lançamentos!$G$5:$G$1004,Lançamentos!$B$5:$B$1004,$B50,Lançamentos!$H$5:$H$1004,D$38))</f>
        <v>0</v>
      </c>
      <c r="E50" s="45" t="n">
        <f aca="false">IF($B50="","",SUMIFS(Lançamentos!$G$5:$G$1004,Lançamentos!$B$5:$B$1004,$B50,Lançamentos!$H$5:$H$1004,E$38))</f>
        <v>0</v>
      </c>
      <c r="F50" s="45" t="n">
        <f aca="false">IF($B50="","",SUMIFS(Lançamentos!$G$5:$G$1004,Lançamentos!$B$5:$B$1004,$B50,Lançamentos!$H$5:$H$1004,F$38))</f>
        <v>0</v>
      </c>
      <c r="G50" s="45" t="n">
        <f aca="false">IF($B50="","",SUMIFS(Lançamentos!$G$5:$G$1004,Lançamentos!$B$5:$B$1004,$B50,Lançamentos!$H$5:$H$1004,G$38))</f>
        <v>0</v>
      </c>
      <c r="H50" s="45" t="n">
        <f aca="false">IF($B50="","",SUMIFS(Lançamentos!$G$5:$G$1004,Lançamentos!$B$5:$B$1004,$B50,Lançamentos!$H$5:$H$1004,H$38))</f>
        <v>0</v>
      </c>
      <c r="I50" s="45" t="n">
        <f aca="false">IF($B50="","",SUMIFS(Lançamentos!$G$5:$G$1004,Lançamentos!$B$5:$B$1004,$B50,Lançamentos!$H$5:$H$1004,I$38))</f>
        <v>0</v>
      </c>
      <c r="J50" s="45" t="n">
        <f aca="false">IF($B50="","",SUMIFS(Lançamentos!$G$5:$G$1004,Lançamentos!$B$5:$B$1004,$B50,Lançamentos!$H$5:$H$1004,J$38))</f>
        <v>0</v>
      </c>
      <c r="K50" s="45" t="n">
        <f aca="false">IF($B50="","",SUMIFS(Lançamentos!$G$5:$G$1004,Lançamentos!$B$5:$B$1004,$B50,Lançamentos!$H$5:$H$1004,K$38))</f>
        <v>0</v>
      </c>
      <c r="L50" s="45" t="n">
        <f aca="false">IF($B50="","",SUMIFS(Lançamentos!$G$5:$G$1004,Lançamentos!$B$5:$B$1004,$B50,Lançamentos!$H$5:$H$1004,L$38))</f>
        <v>0</v>
      </c>
      <c r="M50" s="45" t="n">
        <f aca="false">IF($B50="","",SUMIFS(Lançamentos!$G$5:$G$1004,Lançamentos!$B$5:$B$1004,$B50,Lançamentos!$H$5:$H$1004,M$38))</f>
        <v>0</v>
      </c>
      <c r="N50" s="45" t="n">
        <f aca="false">IF($B50="","",SUMIFS(Lançamentos!$G$5:$G$1004,Lançamentos!$B$5:$B$1004,$B50,Lançamentos!$H$5:$H$1004,N$38))</f>
        <v>0</v>
      </c>
      <c r="O50" s="46" t="n">
        <f aca="false">IF($B50="","",SUM(C50:N50))</f>
        <v>0</v>
      </c>
    </row>
    <row r="51" customFormat="false" ht="15" hidden="false" customHeight="false" outlineLevel="0" collapsed="false">
      <c r="B51" s="6" t="str">
        <f aca="false">IFERROR(INDEX(Listas!$B$5:$B$40,MATCH(ROWS($B$39:B51),Listas!$E$5:$E$40,0)),"")</f>
        <v/>
      </c>
      <c r="C51" s="45" t="str">
        <f aca="false">IF($B51="","",SUMIFS(Lançamentos!$G$5:$G$1004,Lançamentos!$B$5:$B$1004,$B51,Lançamentos!$H$5:$H$1004,C$38))</f>
        <v/>
      </c>
      <c r="D51" s="45" t="str">
        <f aca="false">IF($B51="","",SUMIFS(Lançamentos!$G$5:$G$1004,Lançamentos!$B$5:$B$1004,$B51,Lançamentos!$H$5:$H$1004,D$38))</f>
        <v/>
      </c>
      <c r="E51" s="45" t="str">
        <f aca="false">IF($B51="","",SUMIFS(Lançamentos!$G$5:$G$1004,Lançamentos!$B$5:$B$1004,$B51,Lançamentos!$H$5:$H$1004,E$38))</f>
        <v/>
      </c>
      <c r="F51" s="45" t="str">
        <f aca="false">IF($B51="","",SUMIFS(Lançamentos!$G$5:$G$1004,Lançamentos!$B$5:$B$1004,$B51,Lançamentos!$H$5:$H$1004,F$38))</f>
        <v/>
      </c>
      <c r="G51" s="45" t="str">
        <f aca="false">IF($B51="","",SUMIFS(Lançamentos!$G$5:$G$1004,Lançamentos!$B$5:$B$1004,$B51,Lançamentos!$H$5:$H$1004,G$38))</f>
        <v/>
      </c>
      <c r="H51" s="45" t="str">
        <f aca="false">IF($B51="","",SUMIFS(Lançamentos!$G$5:$G$1004,Lançamentos!$B$5:$B$1004,$B51,Lançamentos!$H$5:$H$1004,H$38))</f>
        <v/>
      </c>
      <c r="I51" s="45" t="str">
        <f aca="false">IF($B51="","",SUMIFS(Lançamentos!$G$5:$G$1004,Lançamentos!$B$5:$B$1004,$B51,Lançamentos!$H$5:$H$1004,I$38))</f>
        <v/>
      </c>
      <c r="J51" s="45" t="str">
        <f aca="false">IF($B51="","",SUMIFS(Lançamentos!$G$5:$G$1004,Lançamentos!$B$5:$B$1004,$B51,Lançamentos!$H$5:$H$1004,J$38))</f>
        <v/>
      </c>
      <c r="K51" s="45" t="str">
        <f aca="false">IF($B51="","",SUMIFS(Lançamentos!$G$5:$G$1004,Lançamentos!$B$5:$B$1004,$B51,Lançamentos!$H$5:$H$1004,K$38))</f>
        <v/>
      </c>
      <c r="L51" s="45" t="str">
        <f aca="false">IF($B51="","",SUMIFS(Lançamentos!$G$5:$G$1004,Lançamentos!$B$5:$B$1004,$B51,Lançamentos!$H$5:$H$1004,L$38))</f>
        <v/>
      </c>
      <c r="M51" s="45" t="str">
        <f aca="false">IF($B51="","",SUMIFS(Lançamentos!$G$5:$G$1004,Lançamentos!$B$5:$B$1004,$B51,Lançamentos!$H$5:$H$1004,M$38))</f>
        <v/>
      </c>
      <c r="N51" s="45" t="str">
        <f aca="false">IF($B51="","",SUMIFS(Lançamentos!$G$5:$G$1004,Lançamentos!$B$5:$B$1004,$B51,Lançamentos!$H$5:$H$1004,N$38))</f>
        <v/>
      </c>
      <c r="O51" s="46" t="str">
        <f aca="false">IF($B51="","",SUM(C51:N51))</f>
        <v/>
      </c>
    </row>
    <row r="52" customFormat="false" ht="15" hidden="false" customHeight="false" outlineLevel="0" collapsed="false">
      <c r="B52" s="6" t="str">
        <f aca="false">IFERROR(INDEX(Listas!$B$5:$B$40,MATCH(ROWS($B$39:B52),Listas!$E$5:$E$40,0)),"")</f>
        <v/>
      </c>
      <c r="C52" s="45" t="str">
        <f aca="false">IF($B52="","",SUMIFS(Lançamentos!$G$5:$G$1004,Lançamentos!$B$5:$B$1004,$B52,Lançamentos!$H$5:$H$1004,C$38))</f>
        <v/>
      </c>
      <c r="D52" s="45" t="str">
        <f aca="false">IF($B52="","",SUMIFS(Lançamentos!$G$5:$G$1004,Lançamentos!$B$5:$B$1004,$B52,Lançamentos!$H$5:$H$1004,D$38))</f>
        <v/>
      </c>
      <c r="E52" s="45" t="str">
        <f aca="false">IF($B52="","",SUMIFS(Lançamentos!$G$5:$G$1004,Lançamentos!$B$5:$B$1004,$B52,Lançamentos!$H$5:$H$1004,E$38))</f>
        <v/>
      </c>
      <c r="F52" s="45" t="str">
        <f aca="false">IF($B52="","",SUMIFS(Lançamentos!$G$5:$G$1004,Lançamentos!$B$5:$B$1004,$B52,Lançamentos!$H$5:$H$1004,F$38))</f>
        <v/>
      </c>
      <c r="G52" s="45" t="str">
        <f aca="false">IF($B52="","",SUMIFS(Lançamentos!$G$5:$G$1004,Lançamentos!$B$5:$B$1004,$B52,Lançamentos!$H$5:$H$1004,G$38))</f>
        <v/>
      </c>
      <c r="H52" s="45" t="str">
        <f aca="false">IF($B52="","",SUMIFS(Lançamentos!$G$5:$G$1004,Lançamentos!$B$5:$B$1004,$B52,Lançamentos!$H$5:$H$1004,H$38))</f>
        <v/>
      </c>
      <c r="I52" s="45" t="str">
        <f aca="false">IF($B52="","",SUMIFS(Lançamentos!$G$5:$G$1004,Lançamentos!$B$5:$B$1004,$B52,Lançamentos!$H$5:$H$1004,I$38))</f>
        <v/>
      </c>
      <c r="J52" s="45" t="str">
        <f aca="false">IF($B52="","",SUMIFS(Lançamentos!$G$5:$G$1004,Lançamentos!$B$5:$B$1004,$B52,Lançamentos!$H$5:$H$1004,J$38))</f>
        <v/>
      </c>
      <c r="K52" s="45" t="str">
        <f aca="false">IF($B52="","",SUMIFS(Lançamentos!$G$5:$G$1004,Lançamentos!$B$5:$B$1004,$B52,Lançamentos!$H$5:$H$1004,K$38))</f>
        <v/>
      </c>
      <c r="L52" s="45" t="str">
        <f aca="false">IF($B52="","",SUMIFS(Lançamentos!$G$5:$G$1004,Lançamentos!$B$5:$B$1004,$B52,Lançamentos!$H$5:$H$1004,L$38))</f>
        <v/>
      </c>
      <c r="M52" s="45" t="str">
        <f aca="false">IF($B52="","",SUMIFS(Lançamentos!$G$5:$G$1004,Lançamentos!$B$5:$B$1004,$B52,Lançamentos!$H$5:$H$1004,M$38))</f>
        <v/>
      </c>
      <c r="N52" s="45" t="str">
        <f aca="false">IF($B52="","",SUMIFS(Lançamentos!$G$5:$G$1004,Lançamentos!$B$5:$B$1004,$B52,Lançamentos!$H$5:$H$1004,N$38))</f>
        <v/>
      </c>
      <c r="O52" s="46" t="str">
        <f aca="false">IF($B52="","",SUM(C52:N52))</f>
        <v/>
      </c>
    </row>
    <row r="53" customFormat="false" ht="15" hidden="false" customHeight="false" outlineLevel="0" collapsed="false">
      <c r="B53" s="6" t="str">
        <f aca="false">IFERROR(INDEX(Listas!$B$5:$B$40,MATCH(ROWS($B$39:B53),Listas!$E$5:$E$40,0)),"")</f>
        <v/>
      </c>
      <c r="C53" s="45" t="str">
        <f aca="false">IF($B53="","",SUMIFS(Lançamentos!$G$5:$G$1004,Lançamentos!$B$5:$B$1004,$B53,Lançamentos!$H$5:$H$1004,C$38))</f>
        <v/>
      </c>
      <c r="D53" s="45" t="str">
        <f aca="false">IF($B53="","",SUMIFS(Lançamentos!$G$5:$G$1004,Lançamentos!$B$5:$B$1004,$B53,Lançamentos!$H$5:$H$1004,D$38))</f>
        <v/>
      </c>
      <c r="E53" s="45" t="str">
        <f aca="false">IF($B53="","",SUMIFS(Lançamentos!$G$5:$G$1004,Lançamentos!$B$5:$B$1004,$B53,Lançamentos!$H$5:$H$1004,E$38))</f>
        <v/>
      </c>
      <c r="F53" s="45" t="str">
        <f aca="false">IF($B53="","",SUMIFS(Lançamentos!$G$5:$G$1004,Lançamentos!$B$5:$B$1004,$B53,Lançamentos!$H$5:$H$1004,F$38))</f>
        <v/>
      </c>
      <c r="G53" s="45" t="str">
        <f aca="false">IF($B53="","",SUMIFS(Lançamentos!$G$5:$G$1004,Lançamentos!$B$5:$B$1004,$B53,Lançamentos!$H$5:$H$1004,G$38))</f>
        <v/>
      </c>
      <c r="H53" s="45" t="str">
        <f aca="false">IF($B53="","",SUMIFS(Lançamentos!$G$5:$G$1004,Lançamentos!$B$5:$B$1004,$B53,Lançamentos!$H$5:$H$1004,H$38))</f>
        <v/>
      </c>
      <c r="I53" s="45" t="str">
        <f aca="false">IF($B53="","",SUMIFS(Lançamentos!$G$5:$G$1004,Lançamentos!$B$5:$B$1004,$B53,Lançamentos!$H$5:$H$1004,I$38))</f>
        <v/>
      </c>
      <c r="J53" s="45" t="str">
        <f aca="false">IF($B53="","",SUMIFS(Lançamentos!$G$5:$G$1004,Lançamentos!$B$5:$B$1004,$B53,Lançamentos!$H$5:$H$1004,J$38))</f>
        <v/>
      </c>
      <c r="K53" s="45" t="str">
        <f aca="false">IF($B53="","",SUMIFS(Lançamentos!$G$5:$G$1004,Lançamentos!$B$5:$B$1004,$B53,Lançamentos!$H$5:$H$1004,K$38))</f>
        <v/>
      </c>
      <c r="L53" s="45" t="str">
        <f aca="false">IF($B53="","",SUMIFS(Lançamentos!$G$5:$G$1004,Lançamentos!$B$5:$B$1004,$B53,Lançamentos!$H$5:$H$1004,L$38))</f>
        <v/>
      </c>
      <c r="M53" s="45" t="str">
        <f aca="false">IF($B53="","",SUMIFS(Lançamentos!$G$5:$G$1004,Lançamentos!$B$5:$B$1004,$B53,Lançamentos!$H$5:$H$1004,M$38))</f>
        <v/>
      </c>
      <c r="N53" s="45" t="str">
        <f aca="false">IF($B53="","",SUMIFS(Lançamentos!$G$5:$G$1004,Lançamentos!$B$5:$B$1004,$B53,Lançamentos!$H$5:$H$1004,N$38))</f>
        <v/>
      </c>
      <c r="O53" s="46" t="str">
        <f aca="false">IF($B53="","",SUM(C53:N53))</f>
        <v/>
      </c>
    </row>
    <row r="54" customFormat="false" ht="15" hidden="false" customHeight="false" outlineLevel="0" collapsed="false">
      <c r="B54" s="6" t="str">
        <f aca="false">IFERROR(INDEX(Listas!$B$5:$B$40,MATCH(ROWS($B$39:B54),Listas!$E$5:$E$40,0)),"")</f>
        <v/>
      </c>
      <c r="C54" s="45" t="str">
        <f aca="false">IF($B54="","",SUMIFS(Lançamentos!$G$5:$G$1004,Lançamentos!$B$5:$B$1004,$B54,Lançamentos!$H$5:$H$1004,C$38))</f>
        <v/>
      </c>
      <c r="D54" s="45" t="str">
        <f aca="false">IF($B54="","",SUMIFS(Lançamentos!$G$5:$G$1004,Lançamentos!$B$5:$B$1004,$B54,Lançamentos!$H$5:$H$1004,D$38))</f>
        <v/>
      </c>
      <c r="E54" s="45" t="str">
        <f aca="false">IF($B54="","",SUMIFS(Lançamentos!$G$5:$G$1004,Lançamentos!$B$5:$B$1004,$B54,Lançamentos!$H$5:$H$1004,E$38))</f>
        <v/>
      </c>
      <c r="F54" s="45" t="str">
        <f aca="false">IF($B54="","",SUMIFS(Lançamentos!$G$5:$G$1004,Lançamentos!$B$5:$B$1004,$B54,Lançamentos!$H$5:$H$1004,F$38))</f>
        <v/>
      </c>
      <c r="G54" s="45" t="str">
        <f aca="false">IF($B54="","",SUMIFS(Lançamentos!$G$5:$G$1004,Lançamentos!$B$5:$B$1004,$B54,Lançamentos!$H$5:$H$1004,G$38))</f>
        <v/>
      </c>
      <c r="H54" s="45" t="str">
        <f aca="false">IF($B54="","",SUMIFS(Lançamentos!$G$5:$G$1004,Lançamentos!$B$5:$B$1004,$B54,Lançamentos!$H$5:$H$1004,H$38))</f>
        <v/>
      </c>
      <c r="I54" s="45" t="str">
        <f aca="false">IF($B54="","",SUMIFS(Lançamentos!$G$5:$G$1004,Lançamentos!$B$5:$B$1004,$B54,Lançamentos!$H$5:$H$1004,I$38))</f>
        <v/>
      </c>
      <c r="J54" s="45" t="str">
        <f aca="false">IF($B54="","",SUMIFS(Lançamentos!$G$5:$G$1004,Lançamentos!$B$5:$B$1004,$B54,Lançamentos!$H$5:$H$1004,J$38))</f>
        <v/>
      </c>
      <c r="K54" s="45" t="str">
        <f aca="false">IF($B54="","",SUMIFS(Lançamentos!$G$5:$G$1004,Lançamentos!$B$5:$B$1004,$B54,Lançamentos!$H$5:$H$1004,K$38))</f>
        <v/>
      </c>
      <c r="L54" s="45" t="str">
        <f aca="false">IF($B54="","",SUMIFS(Lançamentos!$G$5:$G$1004,Lançamentos!$B$5:$B$1004,$B54,Lançamentos!$H$5:$H$1004,L$38))</f>
        <v/>
      </c>
      <c r="M54" s="45" t="str">
        <f aca="false">IF($B54="","",SUMIFS(Lançamentos!$G$5:$G$1004,Lançamentos!$B$5:$B$1004,$B54,Lançamentos!$H$5:$H$1004,M$38))</f>
        <v/>
      </c>
      <c r="N54" s="45" t="str">
        <f aca="false">IF($B54="","",SUMIFS(Lançamentos!$G$5:$G$1004,Lançamentos!$B$5:$B$1004,$B54,Lançamentos!$H$5:$H$1004,N$38))</f>
        <v/>
      </c>
      <c r="O54" s="46" t="str">
        <f aca="false">IF($B54="","",SUM(C54:N54))</f>
        <v/>
      </c>
    </row>
    <row r="55" customFormat="false" ht="15" hidden="false" customHeight="false" outlineLevel="0" collapsed="false">
      <c r="B55" s="6" t="str">
        <f aca="false">IFERROR(INDEX(Listas!$B$5:$B$40,MATCH(ROWS($B$39:B55),Listas!$E$5:$E$40,0)),"")</f>
        <v/>
      </c>
      <c r="C55" s="45" t="str">
        <f aca="false">IF($B55="","",SUMIFS(Lançamentos!$G$5:$G$1004,Lançamentos!$B$5:$B$1004,$B55,Lançamentos!$H$5:$H$1004,C$38))</f>
        <v/>
      </c>
      <c r="D55" s="45" t="str">
        <f aca="false">IF($B55="","",SUMIFS(Lançamentos!$G$5:$G$1004,Lançamentos!$B$5:$B$1004,$B55,Lançamentos!$H$5:$H$1004,D$38))</f>
        <v/>
      </c>
      <c r="E55" s="45" t="str">
        <f aca="false">IF($B55="","",SUMIFS(Lançamentos!$G$5:$G$1004,Lançamentos!$B$5:$B$1004,$B55,Lançamentos!$H$5:$H$1004,E$38))</f>
        <v/>
      </c>
      <c r="F55" s="45" t="str">
        <f aca="false">IF($B55="","",SUMIFS(Lançamentos!$G$5:$G$1004,Lançamentos!$B$5:$B$1004,$B55,Lançamentos!$H$5:$H$1004,F$38))</f>
        <v/>
      </c>
      <c r="G55" s="45" t="str">
        <f aca="false">IF($B55="","",SUMIFS(Lançamentos!$G$5:$G$1004,Lançamentos!$B$5:$B$1004,$B55,Lançamentos!$H$5:$H$1004,G$38))</f>
        <v/>
      </c>
      <c r="H55" s="45" t="str">
        <f aca="false">IF($B55="","",SUMIFS(Lançamentos!$G$5:$G$1004,Lançamentos!$B$5:$B$1004,$B55,Lançamentos!$H$5:$H$1004,H$38))</f>
        <v/>
      </c>
      <c r="I55" s="45" t="str">
        <f aca="false">IF($B55="","",SUMIFS(Lançamentos!$G$5:$G$1004,Lançamentos!$B$5:$B$1004,$B55,Lançamentos!$H$5:$H$1004,I$38))</f>
        <v/>
      </c>
      <c r="J55" s="45" t="str">
        <f aca="false">IF($B55="","",SUMIFS(Lançamentos!$G$5:$G$1004,Lançamentos!$B$5:$B$1004,$B55,Lançamentos!$H$5:$H$1004,J$38))</f>
        <v/>
      </c>
      <c r="K55" s="45" t="str">
        <f aca="false">IF($B55="","",SUMIFS(Lançamentos!$G$5:$G$1004,Lançamentos!$B$5:$B$1004,$B55,Lançamentos!$H$5:$H$1004,K$38))</f>
        <v/>
      </c>
      <c r="L55" s="45" t="str">
        <f aca="false">IF($B55="","",SUMIFS(Lançamentos!$G$5:$G$1004,Lançamentos!$B$5:$B$1004,$B55,Lançamentos!$H$5:$H$1004,L$38))</f>
        <v/>
      </c>
      <c r="M55" s="45" t="str">
        <f aca="false">IF($B55="","",SUMIFS(Lançamentos!$G$5:$G$1004,Lançamentos!$B$5:$B$1004,$B55,Lançamentos!$H$5:$H$1004,M$38))</f>
        <v/>
      </c>
      <c r="N55" s="45" t="str">
        <f aca="false">IF($B55="","",SUMIFS(Lançamentos!$G$5:$G$1004,Lançamentos!$B$5:$B$1004,$B55,Lançamentos!$H$5:$H$1004,N$38))</f>
        <v/>
      </c>
      <c r="O55" s="46" t="str">
        <f aca="false">IF($B55="","",SUM(C55:N55))</f>
        <v/>
      </c>
    </row>
    <row r="56" customFormat="false" ht="15" hidden="false" customHeight="false" outlineLevel="0" collapsed="false">
      <c r="B56" s="6" t="str">
        <f aca="false">IFERROR(INDEX(Listas!$B$5:$B$40,MATCH(ROWS($B$39:B56),Listas!$E$5:$E$40,0)),"")</f>
        <v/>
      </c>
      <c r="C56" s="45" t="str">
        <f aca="false">IF($B56="","",SUMIFS(Lançamentos!$G$5:$G$1004,Lançamentos!$B$5:$B$1004,$B56,Lançamentos!$H$5:$H$1004,C$38))</f>
        <v/>
      </c>
      <c r="D56" s="45" t="str">
        <f aca="false">IF($B56="","",SUMIFS(Lançamentos!$G$5:$G$1004,Lançamentos!$B$5:$B$1004,$B56,Lançamentos!$H$5:$H$1004,D$38))</f>
        <v/>
      </c>
      <c r="E56" s="45" t="str">
        <f aca="false">IF($B56="","",SUMIFS(Lançamentos!$G$5:$G$1004,Lançamentos!$B$5:$B$1004,$B56,Lançamentos!$H$5:$H$1004,E$38))</f>
        <v/>
      </c>
      <c r="F56" s="45" t="str">
        <f aca="false">IF($B56="","",SUMIFS(Lançamentos!$G$5:$G$1004,Lançamentos!$B$5:$B$1004,$B56,Lançamentos!$H$5:$H$1004,F$38))</f>
        <v/>
      </c>
      <c r="G56" s="45" t="str">
        <f aca="false">IF($B56="","",SUMIFS(Lançamentos!$G$5:$G$1004,Lançamentos!$B$5:$B$1004,$B56,Lançamentos!$H$5:$H$1004,G$38))</f>
        <v/>
      </c>
      <c r="H56" s="45" t="str">
        <f aca="false">IF($B56="","",SUMIFS(Lançamentos!$G$5:$G$1004,Lançamentos!$B$5:$B$1004,$B56,Lançamentos!$H$5:$H$1004,H$38))</f>
        <v/>
      </c>
      <c r="I56" s="45" t="str">
        <f aca="false">IF($B56="","",SUMIFS(Lançamentos!$G$5:$G$1004,Lançamentos!$B$5:$B$1004,$B56,Lançamentos!$H$5:$H$1004,I$38))</f>
        <v/>
      </c>
      <c r="J56" s="45" t="str">
        <f aca="false">IF($B56="","",SUMIFS(Lançamentos!$G$5:$G$1004,Lançamentos!$B$5:$B$1004,$B56,Lançamentos!$H$5:$H$1004,J$38))</f>
        <v/>
      </c>
      <c r="K56" s="45" t="str">
        <f aca="false">IF($B56="","",SUMIFS(Lançamentos!$G$5:$G$1004,Lançamentos!$B$5:$B$1004,$B56,Lançamentos!$H$5:$H$1004,K$38))</f>
        <v/>
      </c>
      <c r="L56" s="45" t="str">
        <f aca="false">IF($B56="","",SUMIFS(Lançamentos!$G$5:$G$1004,Lançamentos!$B$5:$B$1004,$B56,Lançamentos!$H$5:$H$1004,L$38))</f>
        <v/>
      </c>
      <c r="M56" s="45" t="str">
        <f aca="false">IF($B56="","",SUMIFS(Lançamentos!$G$5:$G$1004,Lançamentos!$B$5:$B$1004,$B56,Lançamentos!$H$5:$H$1004,M$38))</f>
        <v/>
      </c>
      <c r="N56" s="45" t="str">
        <f aca="false">IF($B56="","",SUMIFS(Lançamentos!$G$5:$G$1004,Lançamentos!$B$5:$B$1004,$B56,Lançamentos!$H$5:$H$1004,N$38))</f>
        <v/>
      </c>
      <c r="O56" s="46" t="str">
        <f aca="false">IF($B56="","",SUM(C56:N56))</f>
        <v/>
      </c>
    </row>
    <row r="57" customFormat="false" ht="15" hidden="false" customHeight="false" outlineLevel="0" collapsed="false">
      <c r="B57" s="6" t="str">
        <f aca="false">IFERROR(INDEX(Listas!$B$5:$B$40,MATCH(ROWS($B$39:B57),Listas!$E$5:$E$40,0)),"")</f>
        <v/>
      </c>
      <c r="C57" s="45" t="str">
        <f aca="false">IF($B57="","",SUMIFS(Lançamentos!$G$5:$G$1004,Lançamentos!$B$5:$B$1004,$B57,Lançamentos!$H$5:$H$1004,C$38))</f>
        <v/>
      </c>
      <c r="D57" s="45" t="str">
        <f aca="false">IF($B57="","",SUMIFS(Lançamentos!$G$5:$G$1004,Lançamentos!$B$5:$B$1004,$B57,Lançamentos!$H$5:$H$1004,D$38))</f>
        <v/>
      </c>
      <c r="E57" s="45" t="str">
        <f aca="false">IF($B57="","",SUMIFS(Lançamentos!$G$5:$G$1004,Lançamentos!$B$5:$B$1004,$B57,Lançamentos!$H$5:$H$1004,E$38))</f>
        <v/>
      </c>
      <c r="F57" s="45" t="str">
        <f aca="false">IF($B57="","",SUMIFS(Lançamentos!$G$5:$G$1004,Lançamentos!$B$5:$B$1004,$B57,Lançamentos!$H$5:$H$1004,F$38))</f>
        <v/>
      </c>
      <c r="G57" s="45" t="str">
        <f aca="false">IF($B57="","",SUMIFS(Lançamentos!$G$5:$G$1004,Lançamentos!$B$5:$B$1004,$B57,Lançamentos!$H$5:$H$1004,G$38))</f>
        <v/>
      </c>
      <c r="H57" s="45" t="str">
        <f aca="false">IF($B57="","",SUMIFS(Lançamentos!$G$5:$G$1004,Lançamentos!$B$5:$B$1004,$B57,Lançamentos!$H$5:$H$1004,H$38))</f>
        <v/>
      </c>
      <c r="I57" s="45" t="str">
        <f aca="false">IF($B57="","",SUMIFS(Lançamentos!$G$5:$G$1004,Lançamentos!$B$5:$B$1004,$B57,Lançamentos!$H$5:$H$1004,I$38))</f>
        <v/>
      </c>
      <c r="J57" s="45" t="str">
        <f aca="false">IF($B57="","",SUMIFS(Lançamentos!$G$5:$G$1004,Lançamentos!$B$5:$B$1004,$B57,Lançamentos!$H$5:$H$1004,J$38))</f>
        <v/>
      </c>
      <c r="K57" s="45" t="str">
        <f aca="false">IF($B57="","",SUMIFS(Lançamentos!$G$5:$G$1004,Lançamentos!$B$5:$B$1004,$B57,Lançamentos!$H$5:$H$1004,K$38))</f>
        <v/>
      </c>
      <c r="L57" s="45" t="str">
        <f aca="false">IF($B57="","",SUMIFS(Lançamentos!$G$5:$G$1004,Lançamentos!$B$5:$B$1004,$B57,Lançamentos!$H$5:$H$1004,L$38))</f>
        <v/>
      </c>
      <c r="M57" s="45" t="str">
        <f aca="false">IF($B57="","",SUMIFS(Lançamentos!$G$5:$G$1004,Lançamentos!$B$5:$B$1004,$B57,Lançamentos!$H$5:$H$1004,M$38))</f>
        <v/>
      </c>
      <c r="N57" s="45" t="str">
        <f aca="false">IF($B57="","",SUMIFS(Lançamentos!$G$5:$G$1004,Lançamentos!$B$5:$B$1004,$B57,Lançamentos!$H$5:$H$1004,N$38))</f>
        <v/>
      </c>
      <c r="O57" s="46" t="str">
        <f aca="false">IF($B57="","",SUM(C57:N57))</f>
        <v/>
      </c>
    </row>
    <row r="58" customFormat="false" ht="15" hidden="false" customHeight="false" outlineLevel="0" collapsed="false">
      <c r="B58" s="6" t="str">
        <f aca="false">IFERROR(INDEX(Listas!$B$5:$B$40,MATCH(ROWS($B$39:B58),Listas!$E$5:$E$40,0)),"")</f>
        <v/>
      </c>
      <c r="C58" s="45" t="str">
        <f aca="false">IF($B58="","",SUMIFS(Lançamentos!$G$5:$G$1004,Lançamentos!$B$5:$B$1004,$B58,Lançamentos!$H$5:$H$1004,C$38))</f>
        <v/>
      </c>
      <c r="D58" s="45" t="str">
        <f aca="false">IF($B58="","",SUMIFS(Lançamentos!$G$5:$G$1004,Lançamentos!$B$5:$B$1004,$B58,Lançamentos!$H$5:$H$1004,D$38))</f>
        <v/>
      </c>
      <c r="E58" s="45" t="str">
        <f aca="false">IF($B58="","",SUMIFS(Lançamentos!$G$5:$G$1004,Lançamentos!$B$5:$B$1004,$B58,Lançamentos!$H$5:$H$1004,E$38))</f>
        <v/>
      </c>
      <c r="F58" s="45" t="str">
        <f aca="false">IF($B58="","",SUMIFS(Lançamentos!$G$5:$G$1004,Lançamentos!$B$5:$B$1004,$B58,Lançamentos!$H$5:$H$1004,F$38))</f>
        <v/>
      </c>
      <c r="G58" s="45" t="str">
        <f aca="false">IF($B58="","",SUMIFS(Lançamentos!$G$5:$G$1004,Lançamentos!$B$5:$B$1004,$B58,Lançamentos!$H$5:$H$1004,G$38))</f>
        <v/>
      </c>
      <c r="H58" s="45" t="str">
        <f aca="false">IF($B58="","",SUMIFS(Lançamentos!$G$5:$G$1004,Lançamentos!$B$5:$B$1004,$B58,Lançamentos!$H$5:$H$1004,H$38))</f>
        <v/>
      </c>
      <c r="I58" s="45" t="str">
        <f aca="false">IF($B58="","",SUMIFS(Lançamentos!$G$5:$G$1004,Lançamentos!$B$5:$B$1004,$B58,Lançamentos!$H$5:$H$1004,I$38))</f>
        <v/>
      </c>
      <c r="J58" s="45" t="str">
        <f aca="false">IF($B58="","",SUMIFS(Lançamentos!$G$5:$G$1004,Lançamentos!$B$5:$B$1004,$B58,Lançamentos!$H$5:$H$1004,J$38))</f>
        <v/>
      </c>
      <c r="K58" s="45" t="str">
        <f aca="false">IF($B58="","",SUMIFS(Lançamentos!$G$5:$G$1004,Lançamentos!$B$5:$B$1004,$B58,Lançamentos!$H$5:$H$1004,K$38))</f>
        <v/>
      </c>
      <c r="L58" s="45" t="str">
        <f aca="false">IF($B58="","",SUMIFS(Lançamentos!$G$5:$G$1004,Lançamentos!$B$5:$B$1004,$B58,Lançamentos!$H$5:$H$1004,L$38))</f>
        <v/>
      </c>
      <c r="M58" s="45" t="str">
        <f aca="false">IF($B58="","",SUMIFS(Lançamentos!$G$5:$G$1004,Lançamentos!$B$5:$B$1004,$B58,Lançamentos!$H$5:$H$1004,M$38))</f>
        <v/>
      </c>
      <c r="N58" s="45" t="str">
        <f aca="false">IF($B58="","",SUMIFS(Lançamentos!$G$5:$G$1004,Lançamentos!$B$5:$B$1004,$B58,Lançamentos!$H$5:$H$1004,N$38))</f>
        <v/>
      </c>
      <c r="O58" s="46" t="str">
        <f aca="false">IF($B58="","",SUM(C58:N58))</f>
        <v/>
      </c>
    </row>
    <row r="59" customFormat="false" ht="15" hidden="false" customHeight="false" outlineLevel="0" collapsed="false">
      <c r="B59" s="47" t="s">
        <v>147</v>
      </c>
      <c r="C59" s="47" t="n">
        <f aca="false">SUM(C39:C58)</f>
        <v>114</v>
      </c>
      <c r="D59" s="47" t="n">
        <f aca="false">SUM(D39:D58)</f>
        <v>0</v>
      </c>
      <c r="E59" s="47" t="n">
        <f aca="false">SUM(E39:E58)</f>
        <v>0</v>
      </c>
      <c r="F59" s="47" t="n">
        <f aca="false">SUM(F39:F58)</f>
        <v>0</v>
      </c>
      <c r="G59" s="47" t="n">
        <f aca="false">SUM(G39:G58)</f>
        <v>0</v>
      </c>
      <c r="H59" s="47" t="n">
        <f aca="false">SUM(H39:H58)</f>
        <v>0</v>
      </c>
      <c r="I59" s="47" t="n">
        <f aca="false">SUM(I39:I58)</f>
        <v>0</v>
      </c>
      <c r="J59" s="47" t="n">
        <f aca="false">SUM(J39:J58)</f>
        <v>0</v>
      </c>
      <c r="K59" s="47" t="n">
        <f aca="false">SUM(K39:K58)</f>
        <v>0</v>
      </c>
      <c r="L59" s="47" t="n">
        <f aca="false">SUM(L39:L58)</f>
        <v>0</v>
      </c>
      <c r="M59" s="47" t="n">
        <f aca="false">SUM(M39:M58)</f>
        <v>0</v>
      </c>
      <c r="N59" s="47" t="n">
        <f aca="false">SUM(N39:N58)</f>
        <v>0</v>
      </c>
      <c r="O59" s="47" t="n">
        <f aca="false">SUM(O39:O58)</f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E66"/>
    <pageSetUpPr fitToPage="true"/>
  </sheetPr>
  <dimension ref="B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22"/>
  </cols>
  <sheetData>
    <row r="1" customFormat="false" ht="22.05" hidden="false" customHeight="false" outlineLevel="0" collapsed="false">
      <c r="B1" s="1" t="s">
        <v>19</v>
      </c>
    </row>
    <row r="2" customFormat="false" ht="15" hidden="false" customHeight="false" outlineLevel="0" collapsed="false">
      <c r="B2" s="2" t="s">
        <v>148</v>
      </c>
    </row>
    <row r="4" customFormat="false" ht="15" hidden="false" customHeight="false" outlineLevel="0" collapsed="false">
      <c r="B4" s="34" t="s">
        <v>149</v>
      </c>
      <c r="C4" s="48" t="n">
        <v>60</v>
      </c>
    </row>
    <row r="5" customFormat="false" ht="15" hidden="false" customHeight="false" outlineLevel="0" collapsed="false">
      <c r="B5" s="34" t="s">
        <v>150</v>
      </c>
      <c r="C5" s="49" t="n">
        <v>0</v>
      </c>
    </row>
    <row r="7" customFormat="false" ht="33.75" hidden="false" customHeight="true" outlineLevel="0" collapsed="false">
      <c r="B7" s="21" t="s">
        <v>151</v>
      </c>
      <c r="C7" s="21" t="s">
        <v>77</v>
      </c>
      <c r="D7" s="21" t="s">
        <v>152</v>
      </c>
      <c r="E7" s="21" t="s">
        <v>153</v>
      </c>
      <c r="F7" s="21" t="s">
        <v>154</v>
      </c>
      <c r="G7" s="21" t="s">
        <v>155</v>
      </c>
      <c r="H7" s="21" t="s">
        <v>156</v>
      </c>
      <c r="I7" s="21" t="s">
        <v>157</v>
      </c>
      <c r="J7" s="21" t="s">
        <v>158</v>
      </c>
    </row>
    <row r="8" customFormat="false" ht="15" hidden="false" customHeight="false" outlineLevel="0" collapsed="false">
      <c r="B8" s="50" t="s">
        <v>159</v>
      </c>
      <c r="C8" s="51" t="s">
        <v>160</v>
      </c>
      <c r="D8" s="28" t="n">
        <v>700</v>
      </c>
      <c r="E8" s="52" t="n">
        <v>8</v>
      </c>
      <c r="F8" s="28" t="n">
        <v>0</v>
      </c>
      <c r="G8" s="33" t="n">
        <f aca="false">D8*$C$5</f>
        <v>0</v>
      </c>
      <c r="H8" s="33" t="n">
        <f aca="false">D8-F8-G8</f>
        <v>700</v>
      </c>
      <c r="I8" s="33" t="n">
        <f aca="false">IF(E8&gt;0,H8/E8,0)</f>
        <v>87.5</v>
      </c>
      <c r="J8" s="27" t="str">
        <f aca="false">IF(I8&gt;=$C$4,"Acima do mínimo","Abaixo do mínimo")</f>
        <v>Acima do mínimo</v>
      </c>
    </row>
    <row r="9" customFormat="false" ht="15" hidden="false" customHeight="false" outlineLevel="0" collapsed="false">
      <c r="B9" s="50" t="s">
        <v>159</v>
      </c>
      <c r="C9" s="51" t="s">
        <v>89</v>
      </c>
      <c r="D9" s="28" t="n">
        <v>1200</v>
      </c>
      <c r="E9" s="52" t="n">
        <v>16</v>
      </c>
      <c r="F9" s="28" t="n">
        <v>20</v>
      </c>
      <c r="G9" s="33" t="n">
        <f aca="false">D9*$C$5</f>
        <v>0</v>
      </c>
      <c r="H9" s="33" t="n">
        <f aca="false">D9-F9-G9</f>
        <v>1180</v>
      </c>
      <c r="I9" s="33" t="n">
        <f aca="false">IF(E9&gt;0,H9/E9,0)</f>
        <v>73.75</v>
      </c>
      <c r="J9" s="27" t="str">
        <f aca="false">IF(I9&gt;=$C$4,"Acima do mínimo","Abaixo do mínimo")</f>
        <v>Acima do mínimo</v>
      </c>
    </row>
    <row r="10" customFormat="false" ht="15" hidden="false" customHeight="false" outlineLevel="0" collapsed="false">
      <c r="B10" s="50" t="s">
        <v>159</v>
      </c>
      <c r="C10" s="51" t="s">
        <v>161</v>
      </c>
      <c r="D10" s="28" t="n">
        <v>1900</v>
      </c>
      <c r="E10" s="52" t="n">
        <v>28</v>
      </c>
      <c r="F10" s="28" t="n">
        <v>40</v>
      </c>
      <c r="G10" s="33" t="n">
        <f aca="false">D10*$C$5</f>
        <v>0</v>
      </c>
      <c r="H10" s="33" t="n">
        <f aca="false">D10-F10-G10</f>
        <v>1860</v>
      </c>
      <c r="I10" s="33" t="n">
        <f aca="false">IF(E10&gt;0,H10/E10,0)</f>
        <v>66.4285714285714</v>
      </c>
      <c r="J10" s="27" t="str">
        <f aca="false">IF(I10&gt;=$C$4,"Acima do mínimo","Abaixo do mínimo")</f>
        <v>Acima do mínimo</v>
      </c>
    </row>
    <row r="11" customFormat="false" ht="15" hidden="false" customHeight="false" outlineLevel="0" collapsed="false">
      <c r="B11" s="50" t="s">
        <v>162</v>
      </c>
      <c r="C11" s="51" t="s">
        <v>163</v>
      </c>
      <c r="D11" s="28" t="n">
        <v>2500</v>
      </c>
      <c r="E11" s="52" t="n">
        <v>25</v>
      </c>
      <c r="F11" s="28" t="n">
        <v>0</v>
      </c>
      <c r="G11" s="33" t="n">
        <f aca="false">D11*$C$5</f>
        <v>0</v>
      </c>
      <c r="H11" s="33" t="n">
        <f aca="false">D11-F11-G11</f>
        <v>2500</v>
      </c>
      <c r="I11" s="33" t="n">
        <f aca="false">IF(E11&gt;0,H11/E11,0)</f>
        <v>100</v>
      </c>
      <c r="J11" s="27" t="str">
        <f aca="false">IF(I11&gt;=$C$4,"Acima do mínimo","Abaixo do mínimo")</f>
        <v>Acima do mínimo</v>
      </c>
    </row>
    <row r="12" customFormat="false" ht="15" hidden="false" customHeight="false" outlineLevel="0" collapsed="false">
      <c r="B12" s="50" t="s">
        <v>162</v>
      </c>
      <c r="C12" s="51" t="s">
        <v>164</v>
      </c>
      <c r="D12" s="28" t="n">
        <v>4500</v>
      </c>
      <c r="E12" s="52" t="n">
        <v>45</v>
      </c>
      <c r="F12" s="28" t="n">
        <v>0</v>
      </c>
      <c r="G12" s="33" t="n">
        <f aca="false">D12*$C$5</f>
        <v>0</v>
      </c>
      <c r="H12" s="33" t="n">
        <f aca="false">D12-F12-G12</f>
        <v>4500</v>
      </c>
      <c r="I12" s="33" t="n">
        <f aca="false">IF(E12&gt;0,H12/E12,0)</f>
        <v>100</v>
      </c>
      <c r="J12" s="27" t="str">
        <f aca="false">IF(I12&gt;=$C$4,"Acima do mínimo","Abaixo do mínimo")</f>
        <v>Acima do mínimo</v>
      </c>
    </row>
    <row r="13" customFormat="false" ht="15" hidden="false" customHeight="false" outlineLevel="0" collapsed="false">
      <c r="B13" s="50" t="s">
        <v>162</v>
      </c>
      <c r="C13" s="51" t="s">
        <v>165</v>
      </c>
      <c r="D13" s="28" t="n">
        <v>7500</v>
      </c>
      <c r="E13" s="52" t="n">
        <v>80</v>
      </c>
      <c r="F13" s="28" t="n">
        <v>0</v>
      </c>
      <c r="G13" s="33" t="n">
        <f aca="false">D13*$C$5</f>
        <v>0</v>
      </c>
      <c r="H13" s="33" t="n">
        <f aca="false">D13-F13-G13</f>
        <v>7500</v>
      </c>
      <c r="I13" s="33" t="n">
        <f aca="false">IF(E13&gt;0,H13/E13,0)</f>
        <v>93.75</v>
      </c>
      <c r="J13" s="27" t="str">
        <f aca="false">IF(I13&gt;=$C$4,"Acima do mínimo","Abaixo do mínimo")</f>
        <v>Acima do mínimo</v>
      </c>
    </row>
    <row r="14" customFormat="false" ht="15" hidden="false" customHeight="false" outlineLevel="0" collapsed="false">
      <c r="B14" s="50" t="s">
        <v>166</v>
      </c>
      <c r="C14" s="51" t="s">
        <v>167</v>
      </c>
      <c r="D14" s="28" t="n">
        <v>6000</v>
      </c>
      <c r="E14" s="52" t="n">
        <v>80</v>
      </c>
      <c r="F14" s="28" t="n">
        <v>150</v>
      </c>
      <c r="G14" s="33" t="n">
        <f aca="false">D14*$C$5</f>
        <v>0</v>
      </c>
      <c r="H14" s="33" t="n">
        <f aca="false">D14-F14-G14</f>
        <v>5850</v>
      </c>
      <c r="I14" s="33" t="n">
        <f aca="false">IF(E14&gt;0,H14/E14,0)</f>
        <v>73.125</v>
      </c>
      <c r="J14" s="27" t="str">
        <f aca="false">IF(I14&gt;=$C$4,"Acima do mínimo","Abaixo do mínimo")</f>
        <v>Acima do mínimo</v>
      </c>
    </row>
    <row r="15" customFormat="false" ht="15" hidden="false" customHeight="false" outlineLevel="0" collapsed="false">
      <c r="B15" s="50" t="s">
        <v>166</v>
      </c>
      <c r="C15" s="51" t="s">
        <v>168</v>
      </c>
      <c r="D15" s="28" t="n">
        <v>15000</v>
      </c>
      <c r="E15" s="52" t="n">
        <v>200</v>
      </c>
      <c r="F15" s="28" t="n">
        <v>300</v>
      </c>
      <c r="G15" s="33" t="n">
        <f aca="false">D15*$C$5</f>
        <v>0</v>
      </c>
      <c r="H15" s="33" t="n">
        <f aca="false">D15-F15-G15</f>
        <v>14700</v>
      </c>
      <c r="I15" s="33" t="n">
        <f aca="false">IF(E15&gt;0,H15/E15,0)</f>
        <v>73.5</v>
      </c>
      <c r="J15" s="27" t="str">
        <f aca="false">IF(I15&gt;=$C$4,"Acima do mínimo","Abaixo do mínimo")</f>
        <v>Acima do mínimo</v>
      </c>
    </row>
    <row r="16" customFormat="false" ht="15" hidden="false" customHeight="false" outlineLevel="0" collapsed="false">
      <c r="B16" s="50" t="s">
        <v>166</v>
      </c>
      <c r="C16" s="51" t="s">
        <v>169</v>
      </c>
      <c r="D16" s="28" t="n">
        <v>25000</v>
      </c>
      <c r="E16" s="52" t="n">
        <v>320</v>
      </c>
      <c r="F16" s="28" t="n">
        <v>600</v>
      </c>
      <c r="G16" s="33" t="n">
        <f aca="false">D16*$C$5</f>
        <v>0</v>
      </c>
      <c r="H16" s="33" t="n">
        <f aca="false">D16-F16-G16</f>
        <v>24400</v>
      </c>
      <c r="I16" s="33" t="n">
        <f aca="false">IF(E16&gt;0,H16/E16,0)</f>
        <v>76.25</v>
      </c>
      <c r="J16" s="27" t="str">
        <f aca="false">IF(I16&gt;=$C$4,"Acima do mínimo","Abaixo do mínimo")</f>
        <v>Acima do mínimo</v>
      </c>
    </row>
    <row r="17" customFormat="false" ht="15" hidden="false" customHeight="false" outlineLevel="0" collapsed="false">
      <c r="B17" s="50" t="s">
        <v>170</v>
      </c>
      <c r="C17" s="51" t="s">
        <v>171</v>
      </c>
      <c r="D17" s="28" t="n">
        <v>250</v>
      </c>
      <c r="E17" s="52" t="n">
        <v>3</v>
      </c>
      <c r="F17" s="28" t="n">
        <v>0</v>
      </c>
      <c r="G17" s="33" t="n">
        <f aca="false">D17*$C$5</f>
        <v>0</v>
      </c>
      <c r="H17" s="33" t="n">
        <f aca="false">D17-F17-G17</f>
        <v>250</v>
      </c>
      <c r="I17" s="33" t="n">
        <f aca="false">IF(E17&gt;0,H17/E17,0)</f>
        <v>83.3333333333333</v>
      </c>
      <c r="J17" s="27" t="str">
        <f aca="false">IF(I17&gt;=$C$4,"Acima do mínimo","Abaixo do mínimo")</f>
        <v>Acima do mínimo</v>
      </c>
    </row>
    <row r="18" customFormat="false" ht="15" hidden="false" customHeight="false" outlineLevel="0" collapsed="false">
      <c r="B18" s="50" t="s">
        <v>170</v>
      </c>
      <c r="C18" s="51" t="s">
        <v>172</v>
      </c>
      <c r="D18" s="28" t="n">
        <v>350</v>
      </c>
      <c r="E18" s="52" t="n">
        <v>4</v>
      </c>
      <c r="F18" s="28" t="n">
        <v>0</v>
      </c>
      <c r="G18" s="33" t="n">
        <f aca="false">D18*$C$5</f>
        <v>0</v>
      </c>
      <c r="H18" s="33" t="n">
        <f aca="false">D18-F18-G18</f>
        <v>350</v>
      </c>
      <c r="I18" s="33" t="n">
        <f aca="false">IF(E18&gt;0,H18/E18,0)</f>
        <v>87.5</v>
      </c>
      <c r="J18" s="27" t="str">
        <f aca="false">IF(I18&gt;=$C$4,"Acima do mínimo","Abaixo do mínimo")</f>
        <v>Acima do mínimo</v>
      </c>
    </row>
    <row r="19" customFormat="false" ht="15" hidden="false" customHeight="false" outlineLevel="0" collapsed="false">
      <c r="B19" s="50" t="s">
        <v>170</v>
      </c>
      <c r="C19" s="51" t="s">
        <v>173</v>
      </c>
      <c r="D19" s="28" t="n">
        <v>150</v>
      </c>
      <c r="E19" s="52" t="n">
        <v>2</v>
      </c>
      <c r="F19" s="28" t="n">
        <v>0</v>
      </c>
      <c r="G19" s="33" t="n">
        <f aca="false">D19*$C$5</f>
        <v>0</v>
      </c>
      <c r="H19" s="33" t="n">
        <f aca="false">D19-F19-G19</f>
        <v>150</v>
      </c>
      <c r="I19" s="33" t="n">
        <f aca="false">IF(E19&gt;0,H19/E19,0)</f>
        <v>75</v>
      </c>
      <c r="J19" s="27" t="str">
        <f aca="false">IF(I19&gt;=$C$4,"Acima do mínimo","Abaixo do mínimo")</f>
        <v>Acima do mínimo</v>
      </c>
    </row>
    <row r="20" customFormat="false" ht="15" hidden="false" customHeight="false" outlineLevel="0" collapsed="false">
      <c r="B20" s="50" t="s">
        <v>170</v>
      </c>
      <c r="C20" s="51" t="s">
        <v>174</v>
      </c>
      <c r="D20" s="28" t="n">
        <v>150</v>
      </c>
      <c r="E20" s="52" t="n">
        <v>2</v>
      </c>
      <c r="F20" s="28" t="n">
        <v>0</v>
      </c>
      <c r="G20" s="33" t="n">
        <f aca="false">D20*$C$5</f>
        <v>0</v>
      </c>
      <c r="H20" s="33" t="n">
        <f aca="false">D20-F20-G20</f>
        <v>150</v>
      </c>
      <c r="I20" s="33" t="n">
        <f aca="false">IF(E20&gt;0,H20/E20,0)</f>
        <v>75</v>
      </c>
      <c r="J20" s="27" t="str">
        <f aca="false">IF(I20&gt;=$C$4,"Acima do mínimo","Abaixo do mínimo")</f>
        <v>Acima do mínimo</v>
      </c>
    </row>
    <row r="21" customFormat="false" ht="15" hidden="false" customHeight="false" outlineLevel="0" collapsed="false">
      <c r="B21" s="50" t="s">
        <v>170</v>
      </c>
      <c r="C21" s="51" t="s">
        <v>175</v>
      </c>
      <c r="D21" s="28" t="n">
        <v>250</v>
      </c>
      <c r="E21" s="52" t="n">
        <v>3</v>
      </c>
      <c r="F21" s="28" t="n">
        <v>40</v>
      </c>
      <c r="G21" s="33" t="n">
        <f aca="false">D21*$C$5</f>
        <v>0</v>
      </c>
      <c r="H21" s="33" t="n">
        <f aca="false">D21-F21-G21</f>
        <v>210</v>
      </c>
      <c r="I21" s="33" t="n">
        <f aca="false">IF(E21&gt;0,H21/E21,0)</f>
        <v>70</v>
      </c>
      <c r="J21" s="27" t="str">
        <f aca="false">IF(I21&gt;=$C$4,"Acima do mínimo","Abaixo do mínimo")</f>
        <v>Acima do mínimo</v>
      </c>
    </row>
    <row r="22" customFormat="false" ht="15" hidden="false" customHeight="false" outlineLevel="0" collapsed="false">
      <c r="B22" s="50" t="s">
        <v>170</v>
      </c>
      <c r="C22" s="51" t="s">
        <v>176</v>
      </c>
      <c r="D22" s="28" t="n">
        <v>50</v>
      </c>
      <c r="E22" s="52" t="n">
        <v>0.5</v>
      </c>
      <c r="F22" s="28" t="n">
        <v>0</v>
      </c>
      <c r="G22" s="33" t="n">
        <f aca="false">D22*$C$5</f>
        <v>0</v>
      </c>
      <c r="H22" s="33" t="n">
        <f aca="false">D22-F22-G22</f>
        <v>50</v>
      </c>
      <c r="I22" s="33" t="n">
        <f aca="false">IF(E22&gt;0,H22/E22,0)</f>
        <v>100</v>
      </c>
      <c r="J22" s="27" t="str">
        <f aca="false">IF(I22&gt;=$C$4,"Acima do mínimo","Abaixo do mínimo")</f>
        <v>Acima do mínimo</v>
      </c>
    </row>
    <row r="23" customFormat="false" ht="15" hidden="false" customHeight="false" outlineLevel="0" collapsed="false">
      <c r="B23" s="50" t="s">
        <v>177</v>
      </c>
      <c r="C23" s="51" t="s">
        <v>178</v>
      </c>
      <c r="D23" s="28" t="n">
        <v>90</v>
      </c>
      <c r="E23" s="52" t="n">
        <v>1.5</v>
      </c>
      <c r="F23" s="28" t="n">
        <v>0</v>
      </c>
      <c r="G23" s="33" t="n">
        <f aca="false">D23*$C$5</f>
        <v>0</v>
      </c>
      <c r="H23" s="33" t="n">
        <f aca="false">D23-F23-G23</f>
        <v>90</v>
      </c>
      <c r="I23" s="33" t="n">
        <f aca="false">IF(E23&gt;0,H23/E23,0)</f>
        <v>60</v>
      </c>
      <c r="J23" s="27" t="str">
        <f aca="false">IF(I23&gt;=$C$4,"Acima do mínimo","Abaixo do mínimo")</f>
        <v>Acima do mínimo</v>
      </c>
    </row>
    <row r="24" customFormat="false" ht="15" hidden="false" customHeight="false" outlineLevel="0" collapsed="false">
      <c r="B24" s="50" t="s">
        <v>177</v>
      </c>
      <c r="C24" s="51" t="s">
        <v>179</v>
      </c>
      <c r="D24" s="28" t="n">
        <v>300</v>
      </c>
      <c r="E24" s="52" t="n">
        <v>5</v>
      </c>
      <c r="F24" s="28" t="n">
        <v>0</v>
      </c>
      <c r="G24" s="33" t="n">
        <f aca="false">D24*$C$5</f>
        <v>0</v>
      </c>
      <c r="H24" s="33" t="n">
        <f aca="false">D24-F24-G24</f>
        <v>300</v>
      </c>
      <c r="I24" s="33" t="n">
        <f aca="false">IF(E24&gt;0,H24/E24,0)</f>
        <v>60</v>
      </c>
      <c r="J24" s="27" t="str">
        <f aca="false">IF(I24&gt;=$C$4,"Acima do mínimo","Abaixo do mínimo")</f>
        <v>Acima do mínimo</v>
      </c>
    </row>
    <row r="25" customFormat="false" ht="15" hidden="false" customHeight="false" outlineLevel="0" collapsed="false">
      <c r="B25" s="50" t="s">
        <v>177</v>
      </c>
      <c r="C25" s="51" t="s">
        <v>180</v>
      </c>
      <c r="D25" s="28" t="n">
        <v>400</v>
      </c>
      <c r="E25" s="52" t="n">
        <v>3</v>
      </c>
      <c r="F25" s="28" t="n">
        <v>150</v>
      </c>
      <c r="G25" s="33" t="n">
        <f aca="false">D25*$C$5</f>
        <v>0</v>
      </c>
      <c r="H25" s="33" t="n">
        <f aca="false">D25-F25-G25</f>
        <v>250</v>
      </c>
      <c r="I25" s="33" t="n">
        <f aca="false">IF(E25&gt;0,H25/E25,0)</f>
        <v>83.3333333333333</v>
      </c>
      <c r="J25" s="27" t="str">
        <f aca="false">IF(I25&gt;=$C$4,"Acima do mínimo","Abaixo do mínimo")</f>
        <v>Acima do mínimo</v>
      </c>
    </row>
    <row r="28" customFormat="false" ht="15" hidden="false" customHeight="false" outlineLevel="0" collapsed="false">
      <c r="B28" s="3" t="s">
        <v>181</v>
      </c>
    </row>
    <row r="29" customFormat="false" ht="21.75" hidden="false" customHeight="true" outlineLevel="0" collapsed="false">
      <c r="B29" s="21" t="s">
        <v>182</v>
      </c>
      <c r="C29" s="21" t="s">
        <v>183</v>
      </c>
      <c r="D29" s="21" t="s">
        <v>184</v>
      </c>
      <c r="E29" s="21"/>
      <c r="F29" s="21"/>
      <c r="G29" s="21"/>
      <c r="H29" s="21"/>
      <c r="I29" s="21"/>
      <c r="J29" s="21"/>
    </row>
    <row r="30" customFormat="false" ht="15" hidden="false" customHeight="false" outlineLevel="0" collapsed="false">
      <c r="B30" s="22" t="s">
        <v>185</v>
      </c>
      <c r="C30" s="22" t="s">
        <v>186</v>
      </c>
      <c r="D30" s="22" t="s">
        <v>187</v>
      </c>
      <c r="E30" s="22"/>
      <c r="F30" s="22"/>
      <c r="G30" s="22"/>
      <c r="H30" s="22"/>
      <c r="I30" s="22"/>
      <c r="J30" s="22"/>
    </row>
    <row r="31" customFormat="false" ht="15" hidden="false" customHeight="false" outlineLevel="0" collapsed="false">
      <c r="B31" s="22" t="s">
        <v>188</v>
      </c>
      <c r="C31" s="22" t="s">
        <v>189</v>
      </c>
      <c r="D31" s="22" t="s">
        <v>190</v>
      </c>
      <c r="E31" s="22"/>
      <c r="F31" s="22"/>
      <c r="G31" s="22"/>
      <c r="H31" s="22"/>
      <c r="I31" s="22"/>
      <c r="J31" s="22"/>
    </row>
    <row r="32" customFormat="false" ht="15" hidden="false" customHeight="false" outlineLevel="0" collapsed="false">
      <c r="B32" s="22" t="s">
        <v>191</v>
      </c>
      <c r="C32" s="22" t="s">
        <v>192</v>
      </c>
      <c r="D32" s="22" t="s">
        <v>193</v>
      </c>
      <c r="E32" s="22"/>
      <c r="F32" s="22"/>
      <c r="G32" s="22"/>
      <c r="H32" s="22"/>
      <c r="I32" s="22"/>
      <c r="J32" s="22"/>
    </row>
    <row r="33" customFormat="false" ht="15" hidden="false" customHeight="false" outlineLevel="0" collapsed="false">
      <c r="B33" s="22" t="s">
        <v>194</v>
      </c>
      <c r="C33" s="22" t="s">
        <v>195</v>
      </c>
      <c r="D33" s="22" t="s">
        <v>196</v>
      </c>
      <c r="E33" s="22"/>
      <c r="F33" s="22"/>
      <c r="G33" s="22"/>
      <c r="H33" s="22"/>
      <c r="I33" s="22"/>
      <c r="J33" s="22"/>
    </row>
    <row r="34" customFormat="false" ht="15" hidden="false" customHeight="false" outlineLevel="0" collapsed="false">
      <c r="B34" s="22" t="s">
        <v>197</v>
      </c>
      <c r="C34" s="22" t="s">
        <v>198</v>
      </c>
      <c r="D34" s="22" t="s">
        <v>199</v>
      </c>
      <c r="E34" s="22"/>
      <c r="F34" s="22"/>
      <c r="G34" s="22"/>
      <c r="H34" s="22"/>
      <c r="I34" s="22"/>
      <c r="J34" s="22"/>
    </row>
  </sheetData>
  <mergeCells count="6">
    <mergeCell ref="D29:J29"/>
    <mergeCell ref="D30:J30"/>
    <mergeCell ref="D31:J31"/>
    <mergeCell ref="D32:J32"/>
    <mergeCell ref="D33:J33"/>
    <mergeCell ref="D34:J34"/>
  </mergeCells>
  <conditionalFormatting sqref="J8:J25">
    <cfRule type="expression" priority="2" aboveAverage="0" equalAverage="0" bottom="0" percent="0" rank="0" text="" dxfId="20">
      <formula>$J8="Abaixo do mínimo"</formula>
    </cfRule>
    <cfRule type="expression" priority="3" aboveAverage="0" equalAverage="0" bottom="0" percent="0" rank="0" text="" dxfId="21">
      <formula>$J8="Acima do mínimo"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BBBBB"/>
    <pageSetUpPr fitToPage="true"/>
  </sheetPr>
  <dimension ref="B1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8" min="8" style="0" width="3"/>
    <col collapsed="false" customWidth="true" hidden="false" outlineLevel="0" max="9" min="9" style="0" width="18"/>
    <col collapsed="false" customWidth="true" hidden="false" outlineLevel="0" max="10" min="10" style="0" width="3"/>
    <col collapsed="false" customWidth="true" hidden="false" outlineLevel="0" max="11" min="11" style="0" width="18"/>
    <col collapsed="false" customWidth="true" hidden="false" outlineLevel="0" max="12" min="12" style="0" width="3"/>
    <col collapsed="false" customWidth="true" hidden="false" outlineLevel="0" max="13" min="13" style="0" width="10"/>
    <col collapsed="false" customWidth="true" hidden="false" outlineLevel="0" max="14" min="14" style="0" width="3"/>
    <col collapsed="false" customWidth="true" hidden="false" outlineLevel="0" max="15" min="15" style="0" width="12"/>
    <col collapsed="false" customWidth="true" hidden="false" outlineLevel="0" max="16" min="16" style="0" width="3"/>
    <col collapsed="false" customWidth="true" hidden="false" outlineLevel="0" max="17" min="17" style="0" width="8"/>
  </cols>
  <sheetData>
    <row r="1" customFormat="false" ht="33.75" hidden="false" customHeight="true" outlineLevel="0" collapsed="false">
      <c r="B1" s="1" t="s">
        <v>21</v>
      </c>
    </row>
    <row r="2" customFormat="false" ht="15" hidden="false" customHeight="false" outlineLevel="0" collapsed="false">
      <c r="B2" s="2" t="s">
        <v>200</v>
      </c>
    </row>
    <row r="4" customFormat="false" ht="30" hidden="false" customHeight="true" outlineLevel="0" collapsed="false">
      <c r="B4" s="21" t="s">
        <v>58</v>
      </c>
      <c r="C4" s="21" t="s">
        <v>59</v>
      </c>
      <c r="D4" s="21" t="s">
        <v>201</v>
      </c>
      <c r="E4" s="21" t="s">
        <v>202</v>
      </c>
      <c r="G4" s="21" t="s">
        <v>62</v>
      </c>
      <c r="I4" s="21" t="s">
        <v>203</v>
      </c>
      <c r="K4" s="21" t="s">
        <v>204</v>
      </c>
      <c r="M4" s="21" t="s">
        <v>99</v>
      </c>
      <c r="O4" s="21" t="s">
        <v>101</v>
      </c>
      <c r="Q4" s="21" t="s">
        <v>103</v>
      </c>
    </row>
    <row r="5" customFormat="false" ht="15" hidden="false" customHeight="false" outlineLevel="0" collapsed="false">
      <c r="B5" s="4" t="s">
        <v>65</v>
      </c>
      <c r="C5" s="32" t="s">
        <v>205</v>
      </c>
      <c r="D5" s="53" t="n">
        <f aca="false">IF(C5="Entrada",COUNTIF($C$5:C5,"Entrada"),"")</f>
        <v>1</v>
      </c>
      <c r="E5" s="53" t="str">
        <f aca="false">IF(C5="Saída",COUNTIF($C$5:C5,"Saída"),"")</f>
        <v/>
      </c>
      <c r="G5" s="4" t="s">
        <v>68</v>
      </c>
      <c r="I5" s="4" t="s">
        <v>65</v>
      </c>
      <c r="K5" s="4" t="s">
        <v>206</v>
      </c>
      <c r="M5" s="4" t="s">
        <v>119</v>
      </c>
      <c r="O5" s="4" t="s">
        <v>109</v>
      </c>
      <c r="Q5" s="4" t="s">
        <v>110</v>
      </c>
    </row>
    <row r="6" customFormat="false" ht="15" hidden="false" customHeight="false" outlineLevel="0" collapsed="false">
      <c r="B6" s="4" t="s">
        <v>207</v>
      </c>
      <c r="C6" s="32" t="s">
        <v>205</v>
      </c>
      <c r="D6" s="53" t="n">
        <f aca="false">IF(C6="Entrada",COUNTIF($C$5:C6,"Entrada"),"")</f>
        <v>2</v>
      </c>
      <c r="E6" s="53" t="str">
        <f aca="false">IF(C6="Saída",COUNTIF($C$5:C6,"Saída"),"")</f>
        <v/>
      </c>
      <c r="G6" s="4" t="s">
        <v>71</v>
      </c>
      <c r="I6" s="4" t="s">
        <v>207</v>
      </c>
      <c r="K6" s="4" t="s">
        <v>90</v>
      </c>
      <c r="M6" s="4" t="s">
        <v>108</v>
      </c>
      <c r="O6" s="4" t="s">
        <v>120</v>
      </c>
      <c r="Q6" s="4" t="s">
        <v>113</v>
      </c>
    </row>
    <row r="7" customFormat="false" ht="15" hidden="false" customHeight="false" outlineLevel="0" collapsed="false">
      <c r="B7" s="4" t="s">
        <v>208</v>
      </c>
      <c r="C7" s="32" t="s">
        <v>205</v>
      </c>
      <c r="D7" s="53" t="n">
        <f aca="false">IF(C7="Entrada",COUNTIF($C$5:C7,"Entrada"),"")</f>
        <v>3</v>
      </c>
      <c r="E7" s="53" t="str">
        <f aca="false">IF(C7="Saída",COUNTIF($C$5:C7,"Saída"),"")</f>
        <v/>
      </c>
      <c r="G7" s="4" t="s">
        <v>209</v>
      </c>
      <c r="I7" s="4" t="s">
        <v>208</v>
      </c>
      <c r="K7" s="4" t="s">
        <v>210</v>
      </c>
    </row>
    <row r="8" customFormat="false" ht="15" hidden="false" customHeight="false" outlineLevel="0" collapsed="false">
      <c r="B8" s="4" t="s">
        <v>211</v>
      </c>
      <c r="C8" s="32" t="s">
        <v>205</v>
      </c>
      <c r="D8" s="53" t="n">
        <f aca="false">IF(C8="Entrada",COUNTIF($C$5:C8,"Entrada"),"")</f>
        <v>4</v>
      </c>
      <c r="E8" s="53" t="str">
        <f aca="false">IF(C8="Saída",COUNTIF($C$5:C8,"Saída"),"")</f>
        <v/>
      </c>
      <c r="G8" s="4" t="s">
        <v>212</v>
      </c>
      <c r="I8" s="4" t="s">
        <v>213</v>
      </c>
      <c r="K8" s="4" t="s">
        <v>214</v>
      </c>
    </row>
    <row r="9" customFormat="false" ht="15" hidden="false" customHeight="false" outlineLevel="0" collapsed="false">
      <c r="B9" s="4" t="s">
        <v>213</v>
      </c>
      <c r="C9" s="32" t="s">
        <v>205</v>
      </c>
      <c r="D9" s="53" t="n">
        <f aca="false">IF(C9="Entrada",COUNTIF($C$5:C9,"Entrada"),"")</f>
        <v>5</v>
      </c>
      <c r="E9" s="53" t="str">
        <f aca="false">IF(C9="Saída",COUNTIF($C$5:C9,"Saída"),"")</f>
        <v/>
      </c>
      <c r="G9" s="4" t="s">
        <v>215</v>
      </c>
    </row>
    <row r="10" customFormat="false" ht="15" hidden="false" customHeight="false" outlineLevel="0" collapsed="false">
      <c r="B10" s="4" t="s">
        <v>216</v>
      </c>
      <c r="C10" s="32" t="s">
        <v>205</v>
      </c>
      <c r="D10" s="53" t="n">
        <f aca="false">IF(C10="Entrada",COUNTIF($C$5:C10,"Entrada"),"")</f>
        <v>6</v>
      </c>
      <c r="E10" s="53" t="str">
        <f aca="false">IF(C10="Saída",COUNTIF($C$5:C10,"Saída"),"")</f>
        <v/>
      </c>
      <c r="G10" s="4" t="s">
        <v>217</v>
      </c>
    </row>
    <row r="11" customFormat="false" ht="15" hidden="false" customHeight="false" outlineLevel="0" collapsed="false">
      <c r="B11" s="4" t="s">
        <v>218</v>
      </c>
      <c r="C11" s="32" t="s">
        <v>205</v>
      </c>
      <c r="D11" s="53" t="n">
        <f aca="false">IF(C11="Entrada",COUNTIF($C$5:C11,"Entrada"),"")</f>
        <v>7</v>
      </c>
      <c r="E11" s="53" t="str">
        <f aca="false">IF(C11="Saída",COUNTIF($C$5:C11,"Saída"),"")</f>
        <v/>
      </c>
      <c r="G11" s="4"/>
    </row>
    <row r="12" customFormat="false" ht="15" hidden="false" customHeight="false" outlineLevel="0" collapsed="false">
      <c r="B12" s="4" t="s">
        <v>69</v>
      </c>
      <c r="C12" s="32" t="s">
        <v>219</v>
      </c>
      <c r="D12" s="53" t="str">
        <f aca="false">IF(C12="Entrada",COUNTIF($C$5:C12,"Entrada"),"")</f>
        <v/>
      </c>
      <c r="E12" s="53" t="n">
        <f aca="false">IF(C12="Saída",COUNTIF($C$5:C12,"Saída"),"")</f>
        <v>1</v>
      </c>
      <c r="G12" s="4"/>
    </row>
    <row r="13" customFormat="false" ht="15" hidden="false" customHeight="false" outlineLevel="0" collapsed="false">
      <c r="B13" s="4" t="s">
        <v>118</v>
      </c>
      <c r="C13" s="32" t="s">
        <v>219</v>
      </c>
      <c r="D13" s="53" t="str">
        <f aca="false">IF(C13="Entrada",COUNTIF($C$5:C13,"Entrada"),"")</f>
        <v/>
      </c>
      <c r="E13" s="53" t="n">
        <f aca="false">IF(C13="Saída",COUNTIF($C$5:C13,"Saída"),"")</f>
        <v>2</v>
      </c>
      <c r="G13" s="4"/>
    </row>
    <row r="14" customFormat="false" ht="15" hidden="false" customHeight="false" outlineLevel="0" collapsed="false">
      <c r="B14" s="4" t="s">
        <v>123</v>
      </c>
      <c r="C14" s="32" t="s">
        <v>219</v>
      </c>
      <c r="D14" s="53" t="str">
        <f aca="false">IF(C14="Entrada",COUNTIF($C$5:C14,"Entrada"),"")</f>
        <v/>
      </c>
      <c r="E14" s="53" t="n">
        <f aca="false">IF(C14="Saída",COUNTIF($C$5:C14,"Saída"),"")</f>
        <v>3</v>
      </c>
      <c r="G14" s="4"/>
    </row>
    <row r="15" customFormat="false" ht="15" hidden="false" customHeight="false" outlineLevel="0" collapsed="false">
      <c r="B15" s="4" t="s">
        <v>126</v>
      </c>
      <c r="C15" s="32" t="s">
        <v>219</v>
      </c>
      <c r="D15" s="53" t="str">
        <f aca="false">IF(C15="Entrada",COUNTIF($C$5:C15,"Entrada"),"")</f>
        <v/>
      </c>
      <c r="E15" s="53" t="n">
        <f aca="false">IF(C15="Saída",COUNTIF($C$5:C15,"Saída"),"")</f>
        <v>4</v>
      </c>
    </row>
    <row r="16" customFormat="false" ht="15" hidden="false" customHeight="false" outlineLevel="0" collapsed="false">
      <c r="B16" s="4" t="s">
        <v>129</v>
      </c>
      <c r="C16" s="32" t="s">
        <v>219</v>
      </c>
      <c r="D16" s="53" t="str">
        <f aca="false">IF(C16="Entrada",COUNTIF($C$5:C16,"Entrada"),"")</f>
        <v/>
      </c>
      <c r="E16" s="53" t="n">
        <f aca="false">IF(C16="Saída",COUNTIF($C$5:C16,"Saída"),"")</f>
        <v>5</v>
      </c>
    </row>
    <row r="17" customFormat="false" ht="15" hidden="false" customHeight="false" outlineLevel="0" collapsed="false">
      <c r="B17" s="4" t="s">
        <v>220</v>
      </c>
      <c r="C17" s="32" t="s">
        <v>219</v>
      </c>
      <c r="D17" s="53" t="str">
        <f aca="false">IF(C17="Entrada",COUNTIF($C$5:C17,"Entrada"),"")</f>
        <v/>
      </c>
      <c r="E17" s="53" t="n">
        <f aca="false">IF(C17="Saída",COUNTIF($C$5:C17,"Saída"),"")</f>
        <v>6</v>
      </c>
    </row>
    <row r="18" customFormat="false" ht="15" hidden="false" customHeight="false" outlineLevel="0" collapsed="false">
      <c r="B18" s="4" t="s">
        <v>132</v>
      </c>
      <c r="C18" s="32" t="s">
        <v>219</v>
      </c>
      <c r="D18" s="53" t="str">
        <f aca="false">IF(C18="Entrada",COUNTIF($C$5:C18,"Entrada"),"")</f>
        <v/>
      </c>
      <c r="E18" s="53" t="n">
        <f aca="false">IF(C18="Saída",COUNTIF($C$5:C18,"Saída"),"")</f>
        <v>7</v>
      </c>
    </row>
    <row r="19" customFormat="false" ht="15" hidden="false" customHeight="false" outlineLevel="0" collapsed="false">
      <c r="B19" s="4" t="s">
        <v>221</v>
      </c>
      <c r="C19" s="32" t="s">
        <v>219</v>
      </c>
      <c r="D19" s="53" t="str">
        <f aca="false">IF(C19="Entrada",COUNTIF($C$5:C19,"Entrada"),"")</f>
        <v/>
      </c>
      <c r="E19" s="53" t="n">
        <f aca="false">IF(C19="Saída",COUNTIF($C$5:C19,"Saída"),"")</f>
        <v>8</v>
      </c>
    </row>
    <row r="20" customFormat="false" ht="15" hidden="false" customHeight="false" outlineLevel="0" collapsed="false">
      <c r="B20" s="4" t="s">
        <v>222</v>
      </c>
      <c r="C20" s="32" t="s">
        <v>219</v>
      </c>
      <c r="D20" s="53" t="str">
        <f aca="false">IF(C20="Entrada",COUNTIF($C$5:C20,"Entrada"),"")</f>
        <v/>
      </c>
      <c r="E20" s="53" t="n">
        <f aca="false">IF(C20="Saída",COUNTIF($C$5:C20,"Saída"),"")</f>
        <v>9</v>
      </c>
    </row>
    <row r="21" customFormat="false" ht="15" hidden="false" customHeight="false" outlineLevel="0" collapsed="false">
      <c r="B21" s="4" t="s">
        <v>223</v>
      </c>
      <c r="C21" s="32" t="s">
        <v>219</v>
      </c>
      <c r="D21" s="53" t="str">
        <f aca="false">IF(C21="Entrada",COUNTIF($C$5:C21,"Entrada"),"")</f>
        <v/>
      </c>
      <c r="E21" s="53" t="n">
        <f aca="false">IF(C21="Saída",COUNTIF($C$5:C21,"Saída"),"")</f>
        <v>10</v>
      </c>
    </row>
    <row r="22" customFormat="false" ht="15" hidden="false" customHeight="false" outlineLevel="0" collapsed="false">
      <c r="B22" s="4" t="s">
        <v>134</v>
      </c>
      <c r="C22" s="32" t="s">
        <v>219</v>
      </c>
      <c r="D22" s="53" t="str">
        <f aca="false">IF(C22="Entrada",COUNTIF($C$5:C22,"Entrada"),"")</f>
        <v/>
      </c>
      <c r="E22" s="53" t="n">
        <f aca="false">IF(C22="Saída",COUNTIF($C$5:C22,"Saída"),"")</f>
        <v>11</v>
      </c>
    </row>
    <row r="23" customFormat="false" ht="15" hidden="false" customHeight="false" outlineLevel="0" collapsed="false">
      <c r="B23" s="4" t="s">
        <v>224</v>
      </c>
      <c r="C23" s="32" t="s">
        <v>219</v>
      </c>
      <c r="D23" s="53" t="str">
        <f aca="false">IF(C23="Entrada",COUNTIF($C$5:C23,"Entrada"),"")</f>
        <v/>
      </c>
      <c r="E23" s="53" t="n">
        <f aca="false">IF(C23="Saída",COUNTIF($C$5:C23,"Saída"),"")</f>
        <v>12</v>
      </c>
    </row>
    <row r="24" customFormat="false" ht="15" hidden="false" customHeight="false" outlineLevel="0" collapsed="false">
      <c r="B24" s="4"/>
      <c r="C24" s="32"/>
      <c r="D24" s="53" t="str">
        <f aca="false">IF(C24="Entrada",COUNTIF($C$5:C24,"Entrada"),"")</f>
        <v/>
      </c>
      <c r="E24" s="53" t="str">
        <f aca="false">IF(C24="Saída",COUNTIF($C$5:C24,"Saída"),"")</f>
        <v/>
      </c>
    </row>
    <row r="25" customFormat="false" ht="15" hidden="false" customHeight="false" outlineLevel="0" collapsed="false">
      <c r="B25" s="4"/>
      <c r="C25" s="32"/>
      <c r="D25" s="53" t="str">
        <f aca="false">IF(C25="Entrada",COUNTIF($C$5:C25,"Entrada"),"")</f>
        <v/>
      </c>
      <c r="E25" s="53" t="str">
        <f aca="false">IF(C25="Saída",COUNTIF($C$5:C25,"Saída"),"")</f>
        <v/>
      </c>
    </row>
    <row r="26" customFormat="false" ht="15" hidden="false" customHeight="false" outlineLevel="0" collapsed="false">
      <c r="B26" s="4"/>
      <c r="C26" s="32"/>
      <c r="D26" s="53" t="str">
        <f aca="false">IF(C26="Entrada",COUNTIF($C$5:C26,"Entrada"),"")</f>
        <v/>
      </c>
      <c r="E26" s="53" t="str">
        <f aca="false">IF(C26="Saída",COUNTIF($C$5:C26,"Saída"),"")</f>
        <v/>
      </c>
    </row>
    <row r="27" customFormat="false" ht="15" hidden="false" customHeight="false" outlineLevel="0" collapsed="false">
      <c r="B27" s="4"/>
      <c r="C27" s="32"/>
      <c r="D27" s="53" t="str">
        <f aca="false">IF(C27="Entrada",COUNTIF($C$5:C27,"Entrada"),"")</f>
        <v/>
      </c>
      <c r="E27" s="53" t="str">
        <f aca="false">IF(C27="Saída",COUNTIF($C$5:C27,"Saída"),"")</f>
        <v/>
      </c>
    </row>
    <row r="28" customFormat="false" ht="15" hidden="false" customHeight="false" outlineLevel="0" collapsed="false">
      <c r="B28" s="4"/>
      <c r="C28" s="32"/>
      <c r="D28" s="53" t="str">
        <f aca="false">IF(C28="Entrada",COUNTIF($C$5:C28,"Entrada"),"")</f>
        <v/>
      </c>
      <c r="E28" s="53" t="str">
        <f aca="false">IF(C28="Saída",COUNTIF($C$5:C28,"Saída"),"")</f>
        <v/>
      </c>
    </row>
    <row r="29" customFormat="false" ht="15" hidden="false" customHeight="false" outlineLevel="0" collapsed="false">
      <c r="B29" s="4"/>
      <c r="C29" s="32"/>
      <c r="D29" s="53" t="str">
        <f aca="false">IF(C29="Entrada",COUNTIF($C$5:C29,"Entrada"),"")</f>
        <v/>
      </c>
      <c r="E29" s="53" t="str">
        <f aca="false">IF(C29="Saída",COUNTIF($C$5:C29,"Saída"),"")</f>
        <v/>
      </c>
    </row>
    <row r="30" customFormat="false" ht="15" hidden="false" customHeight="false" outlineLevel="0" collapsed="false">
      <c r="B30" s="4"/>
      <c r="C30" s="32"/>
      <c r="D30" s="53" t="str">
        <f aca="false">IF(C30="Entrada",COUNTIF($C$5:C30,"Entrada"),"")</f>
        <v/>
      </c>
      <c r="E30" s="53" t="str">
        <f aca="false">IF(C30="Saída",COUNTIF($C$5:C30,"Saída"),"")</f>
        <v/>
      </c>
    </row>
    <row r="31" customFormat="false" ht="15" hidden="false" customHeight="false" outlineLevel="0" collapsed="false">
      <c r="B31" s="4"/>
      <c r="C31" s="32"/>
      <c r="D31" s="53" t="str">
        <f aca="false">IF(C31="Entrada",COUNTIF($C$5:C31,"Entrada"),"")</f>
        <v/>
      </c>
      <c r="E31" s="53" t="str">
        <f aca="false">IF(C31="Saída",COUNTIF($C$5:C31,"Saída"),"")</f>
        <v/>
      </c>
    </row>
    <row r="32" customFormat="false" ht="15" hidden="false" customHeight="false" outlineLevel="0" collapsed="false">
      <c r="B32" s="4"/>
      <c r="C32" s="32"/>
      <c r="D32" s="53" t="str">
        <f aca="false">IF(C32="Entrada",COUNTIF($C$5:C32,"Entrada"),"")</f>
        <v/>
      </c>
      <c r="E32" s="53" t="str">
        <f aca="false">IF(C32="Saída",COUNTIF($C$5:C32,"Saída"),"")</f>
        <v/>
      </c>
    </row>
    <row r="33" customFormat="false" ht="15" hidden="false" customHeight="false" outlineLevel="0" collapsed="false">
      <c r="B33" s="4"/>
      <c r="C33" s="32"/>
      <c r="D33" s="53" t="str">
        <f aca="false">IF(C33="Entrada",COUNTIF($C$5:C33,"Entrada"),"")</f>
        <v/>
      </c>
      <c r="E33" s="53" t="str">
        <f aca="false">IF(C33="Saída",COUNTIF($C$5:C33,"Saída"),"")</f>
        <v/>
      </c>
    </row>
    <row r="34" customFormat="false" ht="15" hidden="false" customHeight="false" outlineLevel="0" collapsed="false">
      <c r="B34" s="4"/>
      <c r="C34" s="32"/>
      <c r="D34" s="53" t="str">
        <f aca="false">IF(C34="Entrada",COUNTIF($C$5:C34,"Entrada"),"")</f>
        <v/>
      </c>
      <c r="E34" s="53" t="str">
        <f aca="false">IF(C34="Saída",COUNTIF($C$5:C34,"Saída"),"")</f>
        <v/>
      </c>
    </row>
    <row r="35" customFormat="false" ht="15" hidden="false" customHeight="false" outlineLevel="0" collapsed="false">
      <c r="B35" s="4"/>
      <c r="C35" s="32"/>
      <c r="D35" s="53" t="str">
        <f aca="false">IF(C35="Entrada",COUNTIF($C$5:C35,"Entrada"),"")</f>
        <v/>
      </c>
      <c r="E35" s="53" t="str">
        <f aca="false">IF(C35="Saída",COUNTIF($C$5:C35,"Saída"),"")</f>
        <v/>
      </c>
    </row>
    <row r="36" customFormat="false" ht="15" hidden="false" customHeight="false" outlineLevel="0" collapsed="false">
      <c r="B36" s="4"/>
      <c r="C36" s="32"/>
      <c r="D36" s="53" t="str">
        <f aca="false">IF(C36="Entrada",COUNTIF($C$5:C36,"Entrada"),"")</f>
        <v/>
      </c>
      <c r="E36" s="53" t="str">
        <f aca="false">IF(C36="Saída",COUNTIF($C$5:C36,"Saída"),"")</f>
        <v/>
      </c>
    </row>
    <row r="37" customFormat="false" ht="15" hidden="false" customHeight="false" outlineLevel="0" collapsed="false">
      <c r="B37" s="4"/>
      <c r="C37" s="32"/>
      <c r="D37" s="53" t="str">
        <f aca="false">IF(C37="Entrada",COUNTIF($C$5:C37,"Entrada"),"")</f>
        <v/>
      </c>
      <c r="E37" s="53" t="str">
        <f aca="false">IF(C37="Saída",COUNTIF($C$5:C37,"Saída"),"")</f>
        <v/>
      </c>
    </row>
    <row r="38" customFormat="false" ht="15" hidden="false" customHeight="false" outlineLevel="0" collapsed="false">
      <c r="B38" s="4"/>
      <c r="C38" s="32"/>
      <c r="D38" s="53" t="str">
        <f aca="false">IF(C38="Entrada",COUNTIF($C$5:C38,"Entrada"),"")</f>
        <v/>
      </c>
      <c r="E38" s="53" t="str">
        <f aca="false">IF(C38="Saída",COUNTIF($C$5:C38,"Saída"),"")</f>
        <v/>
      </c>
    </row>
    <row r="39" customFormat="false" ht="15" hidden="false" customHeight="false" outlineLevel="0" collapsed="false">
      <c r="B39" s="4"/>
      <c r="C39" s="32"/>
      <c r="D39" s="53" t="str">
        <f aca="false">IF(C39="Entrada",COUNTIF($C$5:C39,"Entrada"),"")</f>
        <v/>
      </c>
      <c r="E39" s="53" t="str">
        <f aca="false">IF(C39="Saída",COUNTIF($C$5:C39,"Saída"),"")</f>
        <v/>
      </c>
    </row>
    <row r="40" customFormat="false" ht="15" hidden="false" customHeight="false" outlineLevel="0" collapsed="false">
      <c r="B40" s="4"/>
      <c r="C40" s="32"/>
      <c r="D40" s="53" t="str">
        <f aca="false">IF(C40="Entrada",COUNTIF($C$5:C40,"Entrada"),"")</f>
        <v/>
      </c>
      <c r="E40" s="53" t="str">
        <f aca="false">IF(C40="Saída",COUNTIF($C$5:C40,"Saída"),"")</f>
        <v/>
      </c>
    </row>
  </sheetData>
  <dataValidations count="1">
    <dataValidation allowBlank="true" errorStyle="stop" operator="between" showDropDown="false" showErrorMessage="false" showInputMessage="false" sqref="C5:C40" type="list">
      <formula1>"Entrada,Saída"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2026-10-31T18:08:26Z</dcterms:created>
  <dc:creator>openpyxl</dc:creator>
  <dc:description/>
  <dc:language>en-US</dc:language>
  <cp:lastModifiedBy/>
  <dcterms:modified xsi:type="dcterms:W3CDTF">2026-10-31T18:08:28Z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